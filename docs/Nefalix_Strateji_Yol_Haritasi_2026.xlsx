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Dashboard" sheetId="1" state="visible" r:id="rId1"/>
    <sheet name="Sunum" sheetId="2" state="visible" r:id="rId2"/>
    <sheet name="A-Girdiler" sheetId="3" state="visible" r:id="rId3"/>
    <sheet name="Finans" sheetId="4" state="visible" r:id="rId4"/>
    <sheet name="Duyarlılık" sheetId="5" state="visible" r:id="rId5"/>
    <sheet name="API Maliyet" sheetId="6" state="visible" r:id="rId6"/>
    <sheet name="Maliyet Dağılımı" sheetId="7" state="visible" r:id="rId7"/>
    <sheet name="Fiyatlandırma" sheetId="8" state="visible" r:id="rId8"/>
    <sheet name="Yol Haritası" sheetId="9" state="visible" r:id="rId9"/>
    <sheet name="Uyumluluk" sheetId="10" state="visible" r:id="rId10"/>
    <sheet name="Uzman Görüşmeleri" sheetId="11" state="visible" r:id="rId11"/>
    <sheet name="Rekabet" sheetId="12" state="visible" r:id="rId12"/>
    <sheet name="Müşteri Yolculuğu" sheetId="13" state="visible" r:id="rId13"/>
    <sheet name="Ekip Planı" sheetId="14" state="visible" r:id="rId14"/>
    <sheet name="Medident Pilot" sheetId="15" state="visible" r:id="rId15"/>
    <sheet name="Yatırımcı" sheetId="16" state="visible" r:id="rId16"/>
    <sheet name="KPI Takip" sheetId="17" state="visible" r:id="rId17"/>
    <sheet name="Aksiyonlar" sheetId="18" state="visible" r:id="rId18"/>
    <sheet name="Varsayımla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0F172A"/>
      <sz val="20"/>
    </font>
    <font>
      <name val="Calibri"/>
      <i val="1"/>
      <color rgb="0064748B"/>
      <sz val="11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0F172A"/>
      <sz val="11"/>
    </font>
    <font>
      <name val="Calibri"/>
      <b val="1"/>
      <color rgb="000F172A"/>
      <sz val="14"/>
    </font>
    <font>
      <name val="Calibri"/>
      <color rgb="00CCFBF1"/>
      <sz val="9"/>
    </font>
    <font>
      <name val="Calibri"/>
      <b val="1"/>
      <color rgb="00FFFFFF"/>
      <sz val="16"/>
    </font>
    <font>
      <name val="Calibri"/>
      <i val="1"/>
      <color rgb="00CCFBF1"/>
      <sz val="8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0F766E"/>
      <sz val="11"/>
    </font>
    <font>
      <name val="Calibri"/>
      <b val="1"/>
      <color rgb="000D9488"/>
      <sz val="11"/>
    </font>
    <font>
      <name val="Calibri"/>
      <b val="1"/>
      <color rgb="00FFFFFF"/>
      <sz val="28"/>
    </font>
    <font>
      <name val="Calibri"/>
      <color rgb="00CCFBF1"/>
      <sz val="14"/>
    </font>
    <font>
      <name val="Calibri"/>
      <color rgb="00FFFFFF"/>
      <sz val="10"/>
    </font>
    <font>
      <name val="Calibri"/>
      <b val="1"/>
      <color rgb="00CA8A04"/>
      <sz val="14"/>
    </font>
    <font>
      <name val="Calibri"/>
      <color rgb="00FFFFFF"/>
      <sz val="11"/>
    </font>
    <font>
      <name val="Calibri"/>
      <color rgb="00FFFFFF"/>
      <sz val="12"/>
    </font>
    <font>
      <name val="Calibri"/>
      <color rgb="00CCFBF1"/>
      <sz val="10"/>
    </font>
    <font>
      <name val="Calibri"/>
      <i val="1"/>
      <color rgb="0064748B"/>
      <sz val="9"/>
    </font>
  </fonts>
  <fills count="12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0F766E"/>
      </patternFill>
    </fill>
    <fill>
      <patternFill patternType="solid">
        <fgColor rgb="000F172A"/>
      </patternFill>
    </fill>
    <fill>
      <patternFill patternType="solid">
        <fgColor rgb="00F59E0B"/>
      </patternFill>
    </fill>
    <fill>
      <patternFill patternType="solid">
        <fgColor rgb="00CCFBF1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10" fillId="0" borderId="0" pivotButton="0" quotePrefix="0" xfId="0"/>
    <xf numFmtId="0" fontId="0" fillId="9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7" borderId="0" pivotButton="0" quotePrefix="0" xfId="0"/>
    <xf numFmtId="0" fontId="14" fillId="7" borderId="0" pivotButton="0" quotePrefix="0" xfId="0"/>
    <xf numFmtId="0" fontId="15" fillId="7" borderId="0" pivotButton="0" quotePrefix="0" xfId="0"/>
    <xf numFmtId="0" fontId="16" fillId="6" borderId="0" applyAlignment="1" pivotButton="0" quotePrefix="0" xfId="0">
      <alignment vertical="top" wrapText="1"/>
    </xf>
    <xf numFmtId="0" fontId="17" fillId="7" borderId="0" pivotButton="0" quotePrefix="0" xfId="0"/>
    <xf numFmtId="0" fontId="18" fillId="7" borderId="0" pivotButton="0" quotePrefix="0" xfId="0"/>
    <xf numFmtId="0" fontId="19" fillId="7" borderId="0" pivotButton="0" quotePrefix="0" xfId="0"/>
    <xf numFmtId="0" fontId="18" fillId="7" borderId="0" applyAlignment="1" pivotButton="0" quotePrefix="0" xfId="0">
      <alignment wrapText="1"/>
    </xf>
    <xf numFmtId="0" fontId="20" fillId="7" borderId="0" pivotButton="0" quotePrefix="0" xfId="0"/>
    <xf numFmtId="0" fontId="21" fillId="7" borderId="0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0" fillId="3" borderId="1" pivotButton="0" quotePrefix="0" xfId="0"/>
    <xf numFmtId="3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6" fillId="0" borderId="0" pivotButton="0" quotePrefix="0" xfId="0"/>
    <xf numFmtId="3" fontId="0" fillId="0" borderId="0" pivotButton="0" quotePrefix="0" xfId="0"/>
    <xf numFmtId="0" fontId="4" fillId="0" borderId="1" pivotButton="0" quotePrefix="0" xfId="0"/>
    <xf numFmtId="3" fontId="0" fillId="5" borderId="1" pivotButton="0" quotePrefix="0" xfId="0"/>
    <xf numFmtId="0" fontId="4" fillId="0" borderId="0" pivotButton="0" quotePrefix="0" xfId="0"/>
    <xf numFmtId="3" fontId="11" fillId="2" borderId="1" pivotButton="0" quotePrefix="0" xfId="0"/>
    <xf numFmtId="0" fontId="4" fillId="9" borderId="1" pivotButton="0" quotePrefix="0" xfId="0"/>
    <xf numFmtId="0" fontId="12" fillId="9" borderId="0" pivotButton="0" quotePrefix="0" xfId="0"/>
    <xf numFmtId="0" fontId="1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0" borderId="0" applyAlignment="1" pivotButton="0" quotePrefix="0" xfId="0">
      <alignment wrapText="1"/>
    </xf>
    <xf numFmtId="0" fontId="13" fillId="9" borderId="1" applyAlignment="1" pivotButton="0" quotePrefix="0" xfId="0">
      <alignment horizontal="center"/>
    </xf>
    <xf numFmtId="0" fontId="0" fillId="11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2" fillId="9" borderId="1" applyAlignment="1" pivotButton="0" quotePrefix="0" xfId="0">
      <alignment horizontal="center"/>
    </xf>
    <xf numFmtId="0" fontId="0" fillId="5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ont>
        <name val="Calibri"/>
        <color rgb="00DC2626"/>
        <sz val="11"/>
      </font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MRR vs Gider (24 Ay)</a:t>
            </a:r>
          </a:p>
        </rich>
      </tx>
    </title>
    <plotArea>
      <lineChart>
        <grouping val="standard"/>
        <ser>
          <idx val="0"/>
          <order val="0"/>
          <tx>
            <strRef>
              <f>'Finans'!E4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'Finans'!$A$5:$A$28</f>
            </numRef>
          </cat>
          <val>
            <numRef>
              <f>'Finans'!$E$5:$E$28</f>
            </numRef>
          </val>
        </ser>
        <ser>
          <idx val="1"/>
          <order val="1"/>
          <tx>
            <strRef>
              <f>'Finans'!G4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'Finans'!$A$5:$A$28</f>
            </numRef>
          </cat>
          <val>
            <numRef>
              <f>'Finans'!$G$5:$G$28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Kümülatif Nakit</a:t>
            </a:r>
          </a:p>
        </rich>
      </tx>
    </title>
    <plotArea>
      <lineChart>
        <grouping val="standard"/>
        <ser>
          <idx val="0"/>
          <order val="0"/>
          <tx>
            <strRef>
              <f>'Finans'!I4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'Finans'!$A$5:$A$28</f>
            </numRef>
          </cat>
          <val>
            <numRef>
              <f>'Finans'!$I$5:$I$28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Maliyet Dağılımı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'Maliyet Dağılımı'!$A$5:$A$12</f>
            </numRef>
          </cat>
          <val>
            <numRef>
              <f>'Maliyet Dağılımı'!$B$5:$B$12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12" customWidth="1" min="4" max="4"/>
    <col width="14" customWidth="1" min="5" max="5"/>
    <col width="3" customWidth="1" min="6" max="6"/>
    <col width="16" customWidth="1" min="7" max="7"/>
    <col width="16" customWidth="1" min="8" max="8"/>
  </cols>
  <sheetData>
    <row r="1">
      <c r="A1" s="1" t="inlineStr">
        <is>
          <t>NEFALIX AI — YÖNETİCİ KONTROL PANELİ</t>
        </is>
      </c>
    </row>
    <row r="2">
      <c r="A2" s="2" t="inlineStr">
        <is>
          <t>18 June 2026 | Medident İstanbul Pilot | Gizli — Yönetim Kurulu</t>
        </is>
      </c>
    </row>
    <row r="3">
      <c r="B3" s="3" t="inlineStr">
        <is>
          <t>HEDEF MRR (12. ay)</t>
        </is>
      </c>
      <c r="D3" s="4" t="inlineStr">
        <is>
          <t>HEDEF KLİNİK</t>
        </is>
      </c>
      <c r="F3" s="3" t="inlineStr">
        <is>
          <t>BAŞABAŞ AYI</t>
        </is>
      </c>
      <c r="H3" s="4" t="inlineStr">
        <is>
          <t>YIL 1 NET</t>
        </is>
      </c>
    </row>
    <row r="4">
      <c r="B4" s="5">
        <f>Finans!N35</f>
        <v/>
      </c>
      <c r="D4" s="6">
        <f>Finans!N33</f>
        <v/>
      </c>
      <c r="F4" s="5">
        <f>Finans!N37</f>
        <v/>
      </c>
      <c r="H4" s="6">
        <f>Finans!N39</f>
        <v/>
      </c>
    </row>
    <row r="5">
      <c r="B5" s="7" t="inlineStr">
        <is>
          <t>Formül: finans modeli</t>
        </is>
      </c>
      <c r="D5" s="8" t="inlineStr">
        <is>
          <t>Aktif ödeyen</t>
        </is>
      </c>
      <c r="F5" s="7" t="inlineStr">
        <is>
          <t>MRR ≥ toplam gider</t>
        </is>
      </c>
      <c r="H5" s="8" t="inlineStr">
        <is>
          <t>Kümülatif nakit</t>
        </is>
      </c>
    </row>
    <row r="7">
      <c r="B7" s="9" t="inlineStr">
        <is>
          <t>ÖNERİLEN PAKET</t>
        </is>
      </c>
      <c r="D7" s="9" t="inlineStr">
        <is>
          <t>BRÜT MARJ</t>
        </is>
      </c>
      <c r="F7" s="9" t="inlineStr">
        <is>
          <t>LTV / CAC</t>
        </is>
      </c>
      <c r="H7" s="10" t="inlineStr">
        <is>
          <t>PİLOT MALİYET</t>
        </is>
      </c>
    </row>
    <row r="8">
      <c r="B8" s="11" t="inlineStr">
        <is>
          <t>7.990 ₺/ay</t>
        </is>
      </c>
      <c r="D8" s="11" t="inlineStr">
        <is>
          <t>%82</t>
        </is>
      </c>
      <c r="F8" s="11" t="inlineStr">
        <is>
          <t>12x</t>
        </is>
      </c>
      <c r="H8" s="12" t="inlineStr">
        <is>
          <t>~6.000 ₺/ay</t>
        </is>
      </c>
    </row>
    <row r="9">
      <c r="B9" s="13" t="inlineStr">
        <is>
          <t>Profesyonel</t>
        </is>
      </c>
      <c r="D9" s="13" t="inlineStr">
        <is>
          <t>Klinik başı</t>
        </is>
      </c>
      <c r="F9" s="13" t="inlineStr">
        <is>
          <t>Sağlıklı &gt;3x</t>
        </is>
      </c>
      <c r="H9" s="14" t="inlineStr">
        <is>
          <t>Meta API hariç</t>
        </is>
      </c>
    </row>
    <row r="11">
      <c r="B11" s="15" t="inlineStr">
        <is>
          <t>TEK CÜMLELİK HİKÂYE (yönetim kuruluna okunur)</t>
        </is>
      </c>
    </row>
    <row r="12" ht="72" customHeight="1">
      <c r="B12" s="16" t="inlineStr">
        <is>
          <t>Nefalix, diş kliniklerinin WhatsApp mesajlarını kaçırmamasını, memnun hastaları Google'a yönlendirmesini ve şikâyetleri erken yakalamasını sağlayan Türkiye sunuculu bir yazılımdır. Medident'te pilot kuruldu; sunucu kimlik doğrulaması nedeniyle geçici duraklama var. Hedef: 12 ayda 8 ödeyen klinik, aylık ~64.000 ₺ tekrarlayan gelir. Yıl 1 yatırım yılıdır (~2,1M ₺); yıl 2'de kâra geçiş mümkün.</t>
        </is>
      </c>
    </row>
    <row r="13"/>
    <row r="14"/>
    <row r="16">
      <c r="A16" s="17" t="inlineStr">
        <is>
          <t>Öncelik</t>
        </is>
      </c>
      <c r="B16" s="17" t="inlineStr">
        <is>
          <t>Ne?</t>
        </is>
      </c>
      <c r="C16" s="17" t="inlineStr">
        <is>
          <t>Ne zaman?</t>
        </is>
      </c>
      <c r="D16" s="17" t="inlineStr">
        <is>
          <t>Kim?</t>
        </is>
      </c>
      <c r="E16" s="17" t="inlineStr">
        <is>
          <t>Bütçe</t>
        </is>
      </c>
    </row>
    <row r="17">
      <c r="A17" s="18" t="inlineStr">
        <is>
          <t>P0</t>
        </is>
      </c>
      <c r="B17" s="18" t="inlineStr">
        <is>
          <t>VPS askıyı kaldır, pilotu başlat</t>
        </is>
      </c>
      <c r="C17" s="18" t="inlineStr">
        <is>
          <t>Haz 2026</t>
        </is>
      </c>
      <c r="D17" s="18" t="inlineStr">
        <is>
          <t>Teknik</t>
        </is>
      </c>
      <c r="E17" s="18" t="inlineStr">
        <is>
          <t>0 ₺</t>
        </is>
      </c>
    </row>
    <row r="18">
      <c r="A18" s="19" t="inlineStr">
        <is>
          <t>P0</t>
        </is>
      </c>
      <c r="B18" s="19" t="inlineStr">
        <is>
          <t>KVKK + İYS hukuki altyapı</t>
        </is>
      </c>
      <c r="C18" s="19" t="inlineStr">
        <is>
          <t>Tem 2026</t>
        </is>
      </c>
      <c r="D18" s="19" t="inlineStr">
        <is>
          <t>Hukuk</t>
        </is>
      </c>
      <c r="E18" s="19" t="inlineStr">
        <is>
          <t>31.000 ₺</t>
        </is>
      </c>
    </row>
    <row r="19">
      <c r="A19" s="18" t="inlineStr">
        <is>
          <t>P1</t>
        </is>
      </c>
      <c r="B19" s="18" t="inlineStr">
        <is>
          <t>Inbox + Google onay ekranı</t>
        </is>
      </c>
      <c r="C19" s="18" t="inlineStr">
        <is>
          <t>Ağu 2026</t>
        </is>
      </c>
      <c r="D19" s="18" t="inlineStr">
        <is>
          <t>Geliştirme</t>
        </is>
      </c>
      <c r="E19" s="18" t="inlineStr">
        <is>
          <t>Dahili</t>
        </is>
      </c>
    </row>
    <row r="20">
      <c r="A20" s="19" t="inlineStr">
        <is>
          <t>P1</t>
        </is>
      </c>
      <c r="B20" s="19" t="inlineStr">
        <is>
          <t>Medident case study + 2. klinik</t>
        </is>
      </c>
      <c r="C20" s="19" t="inlineStr">
        <is>
          <t>Eyl 2026</t>
        </is>
      </c>
      <c r="D20" s="19" t="inlineStr">
        <is>
          <t>Satış</t>
        </is>
      </c>
      <c r="E20" s="19" t="inlineStr">
        <is>
          <t>3.000 ₺</t>
        </is>
      </c>
    </row>
    <row r="21">
      <c r="A21" s="18" t="inlineStr">
        <is>
          <t>P2</t>
        </is>
      </c>
      <c r="B21" s="18" t="inlineStr">
        <is>
          <t>WhatsApp resmi API geçişi</t>
        </is>
      </c>
      <c r="C21" s="18" t="inlineStr">
        <is>
          <t>Kas 2026</t>
        </is>
      </c>
      <c r="D21" s="18" t="inlineStr">
        <is>
          <t>Teknik</t>
        </is>
      </c>
      <c r="E21" s="18" t="inlineStr">
        <is>
          <t>~24.000 ₺/yıl</t>
        </is>
      </c>
    </row>
    <row r="22">
      <c r="B22" s="15" t="inlineStr">
        <is>
          <t>SAYFA REHBERİ — bu dosyada nerede ne var?</t>
        </is>
      </c>
    </row>
    <row r="23">
      <c r="A23" s="17" t="inlineStr">
        <is>
          <t>Sayfa</t>
        </is>
      </c>
      <c r="B23" s="17" t="inlineStr">
        <is>
          <t>Açıklama</t>
        </is>
      </c>
    </row>
    <row r="24">
      <c r="A24" s="19" t="inlineStr">
        <is>
          <t>0-Dashboard</t>
        </is>
      </c>
      <c r="B24" s="19" t="inlineStr">
        <is>
          <t>Bu sayfa — özet KPI</t>
        </is>
      </c>
    </row>
    <row r="25">
      <c r="A25" s="18" t="inlineStr">
        <is>
          <t>A-Girdiler</t>
        </is>
      </c>
      <c r="B25" s="18" t="inlineStr">
        <is>
          <t>Varsayımları değiştirin → finans otomatik güncellenir</t>
        </is>
      </c>
    </row>
    <row r="26">
      <c r="A26" s="19" t="inlineStr">
        <is>
          <t>Finans</t>
        </is>
      </c>
      <c r="B26" s="19" t="inlineStr">
        <is>
          <t>24 aylık nakit akışı + grafikler</t>
        </is>
      </c>
    </row>
    <row r="27">
      <c r="A27" s="18" t="inlineStr">
        <is>
          <t>Duyarlılık</t>
        </is>
      </c>
      <c r="B27" s="18" t="inlineStr">
        <is>
          <t>Fiyat / klinik sayısı what-if</t>
        </is>
      </c>
    </row>
    <row r="28">
      <c r="A28" s="19" t="inlineStr">
        <is>
          <t>API Maliyet</t>
        </is>
      </c>
      <c r="B28" s="19" t="inlineStr">
        <is>
          <t>Klinik hacmine göre API hesabı</t>
        </is>
      </c>
    </row>
    <row r="29">
      <c r="A29" s="18" t="inlineStr">
        <is>
          <t>Yol Haritası</t>
        </is>
      </c>
      <c r="B29" s="18" t="inlineStr">
        <is>
          <t>Fazlar + Gantt</t>
        </is>
      </c>
    </row>
    <row r="30">
      <c r="A30" s="19" t="inlineStr">
        <is>
          <t>Fiyatlandırma</t>
        </is>
      </c>
      <c r="B30" s="19" t="inlineStr">
        <is>
          <t>Paketler + ROI</t>
        </is>
      </c>
    </row>
    <row r="31">
      <c r="A31" s="18" t="inlineStr">
        <is>
          <t>Uyumluluk</t>
        </is>
      </c>
      <c r="B31" s="18" t="inlineStr">
        <is>
          <t>KVKK / İYS checklist</t>
        </is>
      </c>
    </row>
    <row r="32">
      <c r="A32" s="19" t="inlineStr">
        <is>
          <t>Uzman Görüşmeleri</t>
        </is>
      </c>
      <c r="B32" s="19" t="inlineStr">
        <is>
          <t>5 disiplin Q&amp;A</t>
        </is>
      </c>
    </row>
    <row r="33">
      <c r="A33" s="18" t="inlineStr">
        <is>
          <t>Sunum</t>
        </is>
      </c>
      <c r="B33" s="18" t="inlineStr">
        <is>
          <t>Tek sayfa — projeksiyon cihazına</t>
        </is>
      </c>
    </row>
  </sheetData>
  <mergeCells count="29">
    <mergeCell ref="F4:G4"/>
    <mergeCell ref="B7:C7"/>
    <mergeCell ref="B3:C3"/>
    <mergeCell ref="H4:I4"/>
    <mergeCell ref="A1:H1"/>
    <mergeCell ref="H9:I9"/>
    <mergeCell ref="F7:G7"/>
    <mergeCell ref="F3:G3"/>
    <mergeCell ref="F5:G5"/>
    <mergeCell ref="B8:C8"/>
    <mergeCell ref="F8:G8"/>
    <mergeCell ref="B22:H22"/>
    <mergeCell ref="D7:E7"/>
    <mergeCell ref="H7:I7"/>
    <mergeCell ref="A2:H2"/>
    <mergeCell ref="B12:H14"/>
    <mergeCell ref="D4:E4"/>
    <mergeCell ref="B11:H11"/>
    <mergeCell ref="B9:C9"/>
    <mergeCell ref="D3:E3"/>
    <mergeCell ref="D9:E9"/>
    <mergeCell ref="F9:G9"/>
    <mergeCell ref="H3:I3"/>
    <mergeCell ref="D8:E8"/>
    <mergeCell ref="B5:C5"/>
    <mergeCell ref="D5:E5"/>
    <mergeCell ref="H5:I5"/>
    <mergeCell ref="H8:I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" customWidth="1" min="6" max="6"/>
  </cols>
  <sheetData>
    <row r="1">
      <c r="A1" s="20" t="n"/>
      <c r="B1" s="20" t="n"/>
      <c r="C1" s="20" t="n"/>
      <c r="D1" s="20" t="n"/>
      <c r="E1" s="20" t="n"/>
      <c r="F1" s="20" t="n"/>
    </row>
    <row r="2">
      <c r="A2" s="20" t="n"/>
      <c r="B2" s="21" t="inlineStr">
        <is>
          <t>NEFALIX AI</t>
        </is>
      </c>
      <c r="F2" s="20" t="n"/>
    </row>
    <row r="3">
      <c r="A3" s="20" t="n"/>
      <c r="B3" s="22" t="inlineStr">
        <is>
          <t>Diş Klinikleri İçin Hasta İletişim &amp; İtibar Platformu</t>
        </is>
      </c>
      <c r="F3" s="20" t="n"/>
    </row>
    <row r="4">
      <c r="A4" s="20" t="n"/>
      <c r="B4" s="20" t="n"/>
      <c r="C4" s="20" t="n"/>
      <c r="D4" s="20" t="n"/>
      <c r="E4" s="20" t="n"/>
      <c r="F4" s="20" t="n"/>
    </row>
    <row r="5">
      <c r="A5" s="20" t="n"/>
      <c r="B5" s="23" t="inlineStr">
        <is>
          <t>SORUN
Klinikler WhatsApp mesajını kaçırıyor,
yorumlara geç yanıt veriyor.</t>
        </is>
      </c>
      <c r="C5" s="23" t="inlineStr">
        <is>
          <t>ÇÖZÜM
Tek panel: inbox, NPS, Google AI,
itibar takibi — Türkiye sunucu.</t>
        </is>
      </c>
      <c r="D5" s="23" t="inlineStr">
        <is>
          <t>PAZAR
4.000 dijital olgun klinik (TR)
Hedef: 150 klinik / 3 yıl</t>
        </is>
      </c>
      <c r="E5" s="23" t="inlineStr">
        <is>
          <t>TRAKSİYON
Medident İstanbul pilot
Panel + 8 modül kurulu</t>
        </is>
      </c>
      <c r="F5" s="20" t="n"/>
    </row>
    <row r="6">
      <c r="A6" s="20" t="n"/>
      <c r="F6" s="20" t="n"/>
    </row>
    <row r="7">
      <c r="A7" s="20" t="n"/>
      <c r="F7" s="20" t="n"/>
    </row>
    <row r="8">
      <c r="A8" s="20" t="n"/>
      <c r="F8" s="20" t="n"/>
    </row>
    <row r="9">
      <c r="A9" s="20" t="n"/>
      <c r="B9" s="20" t="n"/>
      <c r="C9" s="20" t="n"/>
      <c r="D9" s="20" t="n"/>
      <c r="E9" s="20" t="n"/>
      <c r="F9" s="20" t="n"/>
    </row>
    <row r="10">
      <c r="A10" s="20" t="n"/>
      <c r="B10" s="24" t="inlineStr">
        <is>
          <t>İŞ MODELİ</t>
        </is>
      </c>
      <c r="F10" s="20" t="n"/>
    </row>
    <row r="11">
      <c r="A11" s="20" t="n"/>
      <c r="B11" s="25" t="inlineStr">
        <is>
          <t>Başlangıç 4.990 ₺  |  Profesyonel 7.990 ₺  |  Kurumsal 14.990 ₺  |  + kurulum ücreti</t>
        </is>
      </c>
      <c r="F11" s="20" t="n"/>
    </row>
    <row r="12">
      <c r="A12" s="20" t="n"/>
      <c r="B12" s="20" t="n"/>
      <c r="C12" s="20" t="n"/>
      <c r="D12" s="20" t="n"/>
      <c r="E12" s="20" t="n"/>
      <c r="F12" s="20" t="n"/>
    </row>
    <row r="13">
      <c r="A13" s="20" t="n"/>
      <c r="B13" s="24" t="inlineStr">
        <is>
          <t>12 AY HEDEF</t>
        </is>
      </c>
      <c r="F13" s="20" t="n"/>
    </row>
    <row r="14">
      <c r="A14" s="20" t="n"/>
      <c r="B14" s="26">
        <f>Finans!N33&amp;" klinik  |  "&amp;TEXT(Finans!N35,"#,##0")&amp;" ₺ MRR  |  Yıl 1 yatırım: ~2,1M ₺"</f>
        <v/>
      </c>
      <c r="F14" s="20" t="n"/>
    </row>
    <row r="15">
      <c r="A15" s="20" t="n"/>
      <c r="B15" s="20" t="n"/>
      <c r="C15" s="20" t="n"/>
      <c r="D15" s="20" t="n"/>
      <c r="E15" s="20" t="n"/>
      <c r="F15" s="20" t="n"/>
    </row>
    <row r="16">
      <c r="A16" s="20" t="n"/>
      <c r="B16" s="24" t="inlineStr">
        <is>
          <t>YATIRIM İHTİYACI</t>
        </is>
      </c>
      <c r="F16" s="20" t="n"/>
    </row>
    <row r="17">
      <c r="A17" s="20" t="n"/>
      <c r="B17" s="27" t="inlineStr">
        <is>
          <t>500K ₺ başlangıç nakit (mevcut) + opsiyonel 1-1,5M ₺ seed
Kullanım: geliştirici, satış, hukuk, altyapı, 18 ay runway</t>
        </is>
      </c>
      <c r="F17" s="20" t="n"/>
    </row>
    <row r="18">
      <c r="A18" s="20" t="n"/>
      <c r="F18" s="20" t="n"/>
    </row>
    <row r="19">
      <c r="A19" s="20" t="n"/>
      <c r="B19" s="20" t="n"/>
      <c r="C19" s="20" t="n"/>
      <c r="D19" s="20" t="n"/>
      <c r="E19" s="20" t="n"/>
      <c r="F19" s="20" t="n"/>
    </row>
    <row r="20">
      <c r="A20" s="20" t="n"/>
      <c r="B20" s="24" t="inlineStr">
        <is>
          <t>SORULACAK ONAYLAR</t>
        </is>
      </c>
      <c r="F20" s="20" t="n"/>
    </row>
    <row r="21">
      <c r="A21" s="20" t="n"/>
      <c r="B21" s="28" t="inlineStr">
        <is>
          <t>☐ Yıllık bütçe onayı  ☐ Medident referans izni  ☐ KVKK hukuk bütçesi  ☐ Freelance dev işe alım</t>
        </is>
      </c>
      <c r="F21" s="20" t="n"/>
    </row>
    <row r="22">
      <c r="A22" s="20" t="n"/>
      <c r="B22" s="20" t="n"/>
      <c r="C22" s="20" t="n"/>
      <c r="D22" s="20" t="n"/>
      <c r="E22" s="20" t="n"/>
      <c r="F22" s="20" t="n"/>
    </row>
    <row r="23">
      <c r="A23" s="20" t="n"/>
      <c r="B23" s="29" t="inlineStr">
        <is>
          <t>nefalixai.com | 18.06.2026 | Gizli</t>
        </is>
      </c>
      <c r="F23" s="20" t="n"/>
    </row>
    <row r="24">
      <c r="A24" s="20" t="n"/>
      <c r="B24" s="20" t="n"/>
      <c r="C24" s="20" t="n"/>
      <c r="D24" s="20" t="n"/>
      <c r="E24" s="20" t="n"/>
      <c r="F24" s="20" t="n"/>
    </row>
    <row r="25">
      <c r="A25" s="20" t="n"/>
      <c r="B25" s="20" t="n"/>
      <c r="C25" s="20" t="n"/>
      <c r="D25" s="20" t="n"/>
      <c r="E25" s="20" t="n"/>
      <c r="F25" s="20" t="n"/>
    </row>
    <row r="26">
      <c r="A26" s="20" t="n"/>
      <c r="B26" s="20" t="n"/>
      <c r="C26" s="20" t="n"/>
      <c r="D26" s="20" t="n"/>
      <c r="E26" s="20" t="n"/>
      <c r="F26" s="20" t="n"/>
    </row>
    <row r="27">
      <c r="A27" s="20" t="n"/>
      <c r="B27" s="20" t="n"/>
      <c r="C27" s="20" t="n"/>
      <c r="D27" s="20" t="n"/>
      <c r="E27" s="20" t="n"/>
      <c r="F27" s="20" t="n"/>
    </row>
    <row r="28">
      <c r="A28" s="20" t="n"/>
      <c r="B28" s="20" t="n"/>
      <c r="C28" s="20" t="n"/>
      <c r="D28" s="20" t="n"/>
      <c r="E28" s="20" t="n"/>
      <c r="F28" s="20" t="n"/>
    </row>
    <row r="29">
      <c r="A29" s="20" t="n"/>
      <c r="B29" s="20" t="n"/>
      <c r="C29" s="20" t="n"/>
      <c r="D29" s="20" t="n"/>
      <c r="E29" s="20" t="n"/>
      <c r="F29" s="20" t="n"/>
    </row>
    <row r="30">
      <c r="A30" s="20" t="n"/>
      <c r="B30" s="20" t="n"/>
      <c r="C30" s="20" t="n"/>
      <c r="D30" s="20" t="n"/>
      <c r="E30" s="20" t="n"/>
      <c r="F30" s="20" t="n"/>
    </row>
    <row r="31">
      <c r="A31" s="20" t="n"/>
      <c r="B31" s="20" t="n"/>
      <c r="C31" s="20" t="n"/>
      <c r="D31" s="20" t="n"/>
      <c r="E31" s="20" t="n"/>
      <c r="F31" s="20" t="n"/>
    </row>
    <row r="32">
      <c r="A32" s="20" t="n"/>
      <c r="B32" s="20" t="n"/>
      <c r="C32" s="20" t="n"/>
      <c r="D32" s="20" t="n"/>
      <c r="E32" s="20" t="n"/>
      <c r="F32" s="20" t="n"/>
    </row>
    <row r="33">
      <c r="A33" s="20" t="n"/>
      <c r="B33" s="20" t="n"/>
      <c r="C33" s="20" t="n"/>
      <c r="D33" s="20" t="n"/>
      <c r="E33" s="20" t="n"/>
      <c r="F33" s="20" t="n"/>
    </row>
    <row r="34">
      <c r="A34" s="20" t="n"/>
      <c r="B34" s="20" t="n"/>
      <c r="C34" s="20" t="n"/>
      <c r="D34" s="20" t="n"/>
      <c r="E34" s="20" t="n"/>
      <c r="F34" s="20" t="n"/>
    </row>
    <row r="35">
      <c r="A35" s="20" t="n"/>
      <c r="B35" s="20" t="n"/>
      <c r="C35" s="20" t="n"/>
      <c r="D35" s="20" t="n"/>
      <c r="E35" s="20" t="n"/>
      <c r="F35" s="20" t="n"/>
    </row>
    <row r="36">
      <c r="A36" s="20" t="n"/>
      <c r="B36" s="20" t="n"/>
      <c r="C36" s="20" t="n"/>
      <c r="D36" s="20" t="n"/>
      <c r="E36" s="20" t="n"/>
      <c r="F36" s="20" t="n"/>
    </row>
    <row r="37">
      <c r="A37" s="20" t="n"/>
      <c r="B37" s="20" t="n"/>
      <c r="C37" s="20" t="n"/>
      <c r="D37" s="20" t="n"/>
      <c r="E37" s="20" t="n"/>
      <c r="F37" s="20" t="n"/>
    </row>
    <row r="38">
      <c r="A38" s="20" t="n"/>
      <c r="B38" s="20" t="n"/>
      <c r="C38" s="20" t="n"/>
      <c r="D38" s="20" t="n"/>
      <c r="E38" s="20" t="n"/>
      <c r="F38" s="20" t="n"/>
    </row>
    <row r="39">
      <c r="A39" s="20" t="n"/>
      <c r="B39" s="20" t="n"/>
      <c r="C39" s="20" t="n"/>
      <c r="D39" s="20" t="n"/>
      <c r="E39" s="20" t="n"/>
      <c r="F39" s="20" t="n"/>
    </row>
    <row r="40">
      <c r="A40" s="20" t="n"/>
      <c r="B40" s="20" t="n"/>
      <c r="C40" s="20" t="n"/>
      <c r="D40" s="20" t="n"/>
      <c r="E40" s="20" t="n"/>
      <c r="F40" s="20" t="n"/>
    </row>
    <row r="41">
      <c r="A41" s="20" t="n"/>
      <c r="B41" s="20" t="n"/>
      <c r="C41" s="20" t="n"/>
      <c r="D41" s="20" t="n"/>
      <c r="E41" s="20" t="n"/>
      <c r="F41" s="20" t="n"/>
    </row>
    <row r="42">
      <c r="A42" s="20" t="n"/>
      <c r="B42" s="20" t="n"/>
      <c r="C42" s="20" t="n"/>
      <c r="D42" s="20" t="n"/>
      <c r="E42" s="20" t="n"/>
      <c r="F42" s="20" t="n"/>
    </row>
    <row r="43">
      <c r="A43" s="20" t="n"/>
      <c r="B43" s="20" t="n"/>
      <c r="C43" s="20" t="n"/>
      <c r="D43" s="20" t="n"/>
      <c r="E43" s="20" t="n"/>
      <c r="F43" s="20" t="n"/>
    </row>
    <row r="44">
      <c r="A44" s="20" t="n"/>
      <c r="B44" s="20" t="n"/>
      <c r="C44" s="20" t="n"/>
      <c r="D44" s="20" t="n"/>
      <c r="E44" s="20" t="n"/>
      <c r="F44" s="20" t="n"/>
    </row>
  </sheetData>
  <mergeCells count="15">
    <mergeCell ref="B5:B8"/>
    <mergeCell ref="B23:E23"/>
    <mergeCell ref="C5:C8"/>
    <mergeCell ref="B13:E13"/>
    <mergeCell ref="B21:E21"/>
    <mergeCell ref="B16:E16"/>
    <mergeCell ref="B11:E11"/>
    <mergeCell ref="B17:E18"/>
    <mergeCell ref="B3:E3"/>
    <mergeCell ref="B2:E2"/>
    <mergeCell ref="B20:E20"/>
    <mergeCell ref="E5:E8"/>
    <mergeCell ref="D5:D8"/>
    <mergeCell ref="B14:E14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>
      <c r="A1" s="1" t="inlineStr">
        <is>
          <t>MODEL GİRDİLERİ</t>
        </is>
      </c>
    </row>
    <row r="2">
      <c r="A2" s="2" t="inlineStr">
        <is>
          <t>Sarı hücreleri değiştirin — Finans ve Duyarlılık sayfaları güncellenir</t>
        </is>
      </c>
    </row>
    <row r="4">
      <c r="A4" s="17" t="inlineStr">
        <is>
          <t>Parametre</t>
        </is>
      </c>
      <c r="B4" s="17" t="inlineStr">
        <is>
          <t>Değer</t>
        </is>
      </c>
      <c r="C4" s="17" t="inlineStr">
        <is>
          <t>Açıklama</t>
        </is>
      </c>
    </row>
    <row r="5">
      <c r="A5" s="30" t="inlineStr">
        <is>
          <t>KUR — USD/TRY</t>
        </is>
      </c>
      <c r="B5" s="31" t="n">
        <v>38</v>
      </c>
      <c r="C5" s="30" t="inlineStr">
        <is>
          <t>API faturaları için</t>
        </is>
      </c>
    </row>
    <row r="6">
      <c r="A6" s="30" t="inlineStr">
        <is>
          <t>ORTALAMA PAKET (₺/ay)</t>
        </is>
      </c>
      <c r="B6" s="31" t="n">
        <v>7990</v>
      </c>
      <c r="C6" s="30" t="inlineStr">
        <is>
          <t>Profesyonel paket ARPU</t>
        </is>
      </c>
    </row>
    <row r="7">
      <c r="A7" s="30" t="inlineStr">
        <is>
          <t>KURULUM ÜCRETİ (₺)</t>
        </is>
      </c>
      <c r="B7" s="31" t="n">
        <v>14900</v>
      </c>
      <c r="C7" s="30" t="inlineStr">
        <is>
          <t>Tek seferlik onboarding</t>
        </is>
      </c>
    </row>
    <row r="8">
      <c r="A8" s="30" t="inlineStr">
        <is>
          <t>AYLIK CHURN (%)</t>
        </is>
      </c>
      <c r="B8" s="31" t="n">
        <v>4</v>
      </c>
      <c r="C8" s="30" t="inlineStr">
        <is>
          <t>Örn. 4 → formülde %4 kullanılır</t>
        </is>
      </c>
    </row>
    <row r="9">
      <c r="A9" s="30" t="inlineStr">
        <is>
          <t>SABİT GİDER (₺/ay)</t>
        </is>
      </c>
      <c r="B9" s="31" t="n">
        <v>8500</v>
      </c>
      <c r="C9" s="30" t="inlineStr">
        <is>
          <t>Altyapı + hukuk + araçlar (dev hariç)</t>
        </is>
      </c>
    </row>
    <row r="10">
      <c r="A10" s="30" t="inlineStr">
        <is>
          <t>DEĞİŞKEN GİDER (₺/klinik/ay)</t>
        </is>
      </c>
      <c r="B10" s="31" t="n">
        <v>1350</v>
      </c>
      <c r="C10" s="30" t="inlineStr">
        <is>
          <t>OpenAI + WhatsApp payı</t>
        </is>
      </c>
    </row>
    <row r="11">
      <c r="A11" s="30" t="inlineStr">
        <is>
          <t>FREELANCE DEV (₺/ay)</t>
        </is>
      </c>
      <c r="B11" s="31" t="n">
        <v>45000</v>
      </c>
      <c r="C11" s="30" t="inlineStr">
        <is>
          <t>Yarı zamanlı geliştirici</t>
        </is>
      </c>
    </row>
    <row r="12">
      <c r="A12" s="30" t="inlineStr">
        <is>
          <t>SATIŞ (₺/ay) — başlangıç ayı</t>
        </is>
      </c>
      <c r="B12" s="31" t="n">
        <v>7</v>
      </c>
      <c r="C12" s="30" t="inlineStr">
        <is>
          <t>Hangi aydan itibaren</t>
        </is>
      </c>
    </row>
    <row r="13">
      <c r="A13" s="30" t="inlineStr">
        <is>
          <t>SATIŞ MAAŞ (₺/ay)</t>
        </is>
      </c>
      <c r="B13" s="31" t="n">
        <v>30000</v>
      </c>
      <c r="C13" s="30" t="inlineStr">
        <is>
          <t>Yarı zamanlı</t>
        </is>
      </c>
    </row>
    <row r="14">
      <c r="A14" s="30" t="inlineStr">
        <is>
          <t>DESTEK (₺/ay) — başlangıç ayı</t>
        </is>
      </c>
      <c r="B14" s="31" t="n">
        <v>10</v>
      </c>
      <c r="C14" s="30" t="inlineStr">
        <is>
          <t>5+ klinik sonrası</t>
        </is>
      </c>
    </row>
    <row r="15">
      <c r="A15" s="30" t="inlineStr">
        <is>
          <t>DESTEK MAAŞ (₺/ay)</t>
        </is>
      </c>
      <c r="B15" s="31" t="n">
        <v>22000</v>
      </c>
      <c r="C15" s="30" t="inlineStr">
        <is>
          <t>Part-time</t>
        </is>
      </c>
    </row>
    <row r="16">
      <c r="A16" s="30" t="inlineStr">
        <is>
          <t>BAŞLANGIÇ NAKİT (₺)</t>
        </is>
      </c>
      <c r="B16" s="31" t="n">
        <v>500000</v>
      </c>
      <c r="C16" s="30" t="inlineStr">
        <is>
          <t>Yatırım / öz kaynak</t>
        </is>
      </c>
    </row>
    <row r="17">
      <c r="A17" s="30" t="inlineStr">
        <is>
          <t>CAC (₺/yeni klinik)</t>
        </is>
      </c>
      <c r="B17" s="31" t="n">
        <v>12000</v>
      </c>
      <c r="C17" s="30" t="inlineStr">
        <is>
          <t>Satış + pazarlama</t>
        </is>
      </c>
    </row>
    <row r="20">
      <c r="A20" s="32" t="inlineStr">
        <is>
          <t>YENİ KLİNİK RAMPASI (aylık eklenen ödeyen klinik)</t>
        </is>
      </c>
    </row>
    <row r="21">
      <c r="A21" s="17" t="inlineStr">
        <is>
          <t>Ay</t>
        </is>
      </c>
      <c r="B21" s="17" t="inlineStr">
        <is>
          <t>Yeni klinik</t>
        </is>
      </c>
      <c r="C21" s="17" t="inlineStr">
        <is>
          <t>Not</t>
        </is>
      </c>
    </row>
    <row r="22">
      <c r="A22" s="30" t="inlineStr">
        <is>
          <t>Ay 1</t>
        </is>
      </c>
      <c r="B22" s="33" t="n">
        <v>0</v>
      </c>
      <c r="C22" s="30" t="inlineStr">
        <is>
          <t>Pilot</t>
        </is>
      </c>
    </row>
    <row r="23">
      <c r="A23" s="30" t="inlineStr">
        <is>
          <t>Ay 2</t>
        </is>
      </c>
      <c r="B23" s="33" t="n">
        <v>0</v>
      </c>
      <c r="C23" s="30" t="inlineStr">
        <is>
          <t>Pilot</t>
        </is>
      </c>
    </row>
    <row r="24">
      <c r="A24" s="30" t="inlineStr">
        <is>
          <t>Ay 3</t>
        </is>
      </c>
      <c r="B24" s="33" t="n">
        <v>0</v>
      </c>
      <c r="C24" s="30" t="inlineStr">
        <is>
          <t>Pilot</t>
        </is>
      </c>
    </row>
    <row r="25">
      <c r="A25" s="30" t="inlineStr">
        <is>
          <t>Ay 4</t>
        </is>
      </c>
      <c r="B25" s="33" t="n">
        <v>0</v>
      </c>
      <c r="C25" s="30" t="inlineStr">
        <is>
          <t>Pilot</t>
        </is>
      </c>
    </row>
    <row r="26">
      <c r="A26" s="30" t="inlineStr">
        <is>
          <t>Ay 5</t>
        </is>
      </c>
      <c r="B26" s="33" t="n">
        <v>1</v>
      </c>
      <c r="C26" s="30" t="inlineStr">
        <is>
          <t>İlk satış</t>
        </is>
      </c>
    </row>
    <row r="27">
      <c r="A27" s="30" t="inlineStr">
        <is>
          <t>Ay 6</t>
        </is>
      </c>
      <c r="B27" s="33" t="n">
        <v>0</v>
      </c>
      <c r="C27" s="30" t="inlineStr"/>
    </row>
    <row r="28">
      <c r="A28" s="30" t="inlineStr">
        <is>
          <t>Ay 7</t>
        </is>
      </c>
      <c r="B28" s="33" t="n">
        <v>1</v>
      </c>
      <c r="C28" s="30" t="inlineStr"/>
    </row>
    <row r="29">
      <c r="A29" s="30" t="inlineStr">
        <is>
          <t>Ay 8</t>
        </is>
      </c>
      <c r="B29" s="33" t="n">
        <v>1</v>
      </c>
      <c r="C29" s="30" t="inlineStr"/>
    </row>
    <row r="30">
      <c r="A30" s="30" t="inlineStr">
        <is>
          <t>Ay 9</t>
        </is>
      </c>
      <c r="B30" s="33" t="n">
        <v>1</v>
      </c>
      <c r="C30" s="30" t="inlineStr"/>
    </row>
    <row r="31">
      <c r="A31" s="30" t="inlineStr">
        <is>
          <t>Ay 10</t>
        </is>
      </c>
      <c r="B31" s="33" t="n">
        <v>2</v>
      </c>
      <c r="C31" s="30" t="inlineStr"/>
    </row>
    <row r="32">
      <c r="A32" s="30" t="inlineStr">
        <is>
          <t>Ay 11</t>
        </is>
      </c>
      <c r="B32" s="33" t="n">
        <v>1</v>
      </c>
      <c r="C32" s="30" t="inlineStr"/>
    </row>
    <row r="33">
      <c r="A33" s="30" t="inlineStr">
        <is>
          <t>Ay 12</t>
        </is>
      </c>
      <c r="B33" s="33" t="n">
        <v>1</v>
      </c>
      <c r="C33" s="30" t="inlineStr"/>
    </row>
    <row r="34">
      <c r="A34" s="30" t="inlineStr">
        <is>
          <t>Ay 13</t>
        </is>
      </c>
      <c r="B34" s="33" t="n">
        <v>1</v>
      </c>
      <c r="C34" s="30" t="inlineStr"/>
    </row>
    <row r="35">
      <c r="A35" s="30" t="inlineStr">
        <is>
          <t>Ay 14</t>
        </is>
      </c>
      <c r="B35" s="33" t="n">
        <v>1</v>
      </c>
      <c r="C35" s="30" t="inlineStr"/>
    </row>
    <row r="36">
      <c r="A36" s="30" t="inlineStr">
        <is>
          <t>Ay 15</t>
        </is>
      </c>
      <c r="B36" s="33" t="n">
        <v>2</v>
      </c>
      <c r="C36" s="30" t="inlineStr"/>
    </row>
    <row r="37">
      <c r="A37" s="30" t="inlineStr">
        <is>
          <t>Ay 16</t>
        </is>
      </c>
      <c r="B37" s="33" t="n">
        <v>1</v>
      </c>
      <c r="C37" s="30" t="inlineStr"/>
    </row>
    <row r="38">
      <c r="A38" s="30" t="inlineStr">
        <is>
          <t>Ay 17</t>
        </is>
      </c>
      <c r="B38" s="33" t="n">
        <v>1</v>
      </c>
      <c r="C38" s="30" t="inlineStr"/>
    </row>
    <row r="39">
      <c r="A39" s="30" t="inlineStr">
        <is>
          <t>Ay 18</t>
        </is>
      </c>
      <c r="B39" s="33" t="n">
        <v>1</v>
      </c>
      <c r="C39" s="30" t="inlineStr"/>
    </row>
    <row r="40">
      <c r="A40" s="30" t="inlineStr">
        <is>
          <t>Ay 19</t>
        </is>
      </c>
      <c r="B40" s="33" t="n">
        <v>1</v>
      </c>
      <c r="C40" s="30" t="inlineStr"/>
    </row>
    <row r="41">
      <c r="A41" s="30" t="inlineStr">
        <is>
          <t>Ay 20</t>
        </is>
      </c>
      <c r="B41" s="33" t="n">
        <v>1</v>
      </c>
      <c r="C41" s="30" t="inlineStr"/>
    </row>
    <row r="42">
      <c r="A42" s="30" t="inlineStr">
        <is>
          <t>Ay 21</t>
        </is>
      </c>
      <c r="B42" s="33" t="n">
        <v>1</v>
      </c>
      <c r="C42" s="30" t="inlineStr"/>
    </row>
    <row r="43">
      <c r="A43" s="30" t="inlineStr">
        <is>
          <t>Ay 22</t>
        </is>
      </c>
      <c r="B43" s="33" t="n">
        <v>1</v>
      </c>
      <c r="C43" s="30" t="inlineStr"/>
    </row>
    <row r="44">
      <c r="A44" s="30" t="inlineStr">
        <is>
          <t>Ay 23</t>
        </is>
      </c>
      <c r="B44" s="33" t="n">
        <v>1</v>
      </c>
      <c r="C44" s="30" t="inlineStr"/>
    </row>
    <row r="45">
      <c r="A45" s="30" t="inlineStr">
        <is>
          <t>Ay 24</t>
        </is>
      </c>
      <c r="B45" s="33" t="n">
        <v>1</v>
      </c>
      <c r="C45" s="30" t="inlineStr"/>
    </row>
  </sheetData>
  <mergeCells count="3">
    <mergeCell ref="A20:C20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24 AYLIK FİNANSAL MODEL</t>
        </is>
      </c>
    </row>
    <row r="2">
      <c r="A2" s="2" t="inlineStr">
        <is>
          <t>Tüm tutarlar ₺ — formüller A-Girdiler sayfasına bağlı</t>
        </is>
      </c>
    </row>
    <row r="4">
      <c r="A4" s="17" t="inlineStr">
        <is>
          <t>Ay</t>
        </is>
      </c>
      <c r="B4" s="17" t="inlineStr">
        <is>
          <t>Yeni</t>
        </is>
      </c>
      <c r="C4" s="17" t="inlineStr">
        <is>
          <t>Churn</t>
        </is>
      </c>
      <c r="D4" s="17" t="inlineStr">
        <is>
          <t>Aktif</t>
        </is>
      </c>
      <c r="E4" s="17" t="inlineStr">
        <is>
          <t>MRR</t>
        </is>
      </c>
      <c r="F4" s="17" t="inlineStr">
        <is>
          <t>Kurulum</t>
        </is>
      </c>
      <c r="G4" s="17" t="inlineStr">
        <is>
          <t>Gider</t>
        </is>
      </c>
      <c r="H4" s="17" t="inlineStr">
        <is>
          <t>Net</t>
        </is>
      </c>
      <c r="I4" s="17" t="inlineStr">
        <is>
          <t>Kümülatif</t>
        </is>
      </c>
      <c r="J4" s="17" t="inlineStr">
        <is>
          <t>Burn/mo</t>
        </is>
      </c>
    </row>
    <row r="5">
      <c r="A5" s="30" t="n">
        <v>1</v>
      </c>
      <c r="B5" s="30">
        <f>'A-Girdiler'!B22</f>
        <v/>
      </c>
      <c r="C5" s="30" t="n">
        <v>0</v>
      </c>
      <c r="D5" s="30">
        <f>B5</f>
        <v/>
      </c>
      <c r="E5" s="34">
        <f>D5*'A-Girdiler'!$B$6</f>
        <v/>
      </c>
      <c r="F5" s="34">
        <f>B5*'A-Girdiler'!$B$7</f>
        <v/>
      </c>
      <c r="G5" s="34">
        <f>'A-Girdiler'!$B$9+D5*'A-Girdiler'!$B$10+'A-Girdiler'!$B$11+IF(A5&gt;='A-Girdiler'!$B$12,'A-Girdiler'!$B$13,0)+IF(A5&gt;='A-Girdiler'!$B$14,'A-Girdiler'!$B$15,0)+B5*'A-Girdiler'!$B$17</f>
        <v/>
      </c>
      <c r="H5" s="34">
        <f>E5+F5-G5</f>
        <v/>
      </c>
      <c r="I5" s="34">
        <f>'A-Girdiler'!$B$16+H5</f>
        <v/>
      </c>
      <c r="J5" s="34">
        <f>IF(H5&lt;0,-H5,0)</f>
        <v/>
      </c>
    </row>
    <row r="6">
      <c r="A6" s="35" t="n">
        <v>2</v>
      </c>
      <c r="B6" s="35">
        <f>'A-Girdiler'!B23</f>
        <v/>
      </c>
      <c r="C6" s="35">
        <f>ROUND(D5*'A-Girdiler'!$B$8/100,2)</f>
        <v/>
      </c>
      <c r="D6" s="35">
        <f>MAX(0,D5-C6+B6)</f>
        <v/>
      </c>
      <c r="E6" s="36">
        <f>D6*'A-Girdiler'!$B$6</f>
        <v/>
      </c>
      <c r="F6" s="36">
        <f>B6*'A-Girdiler'!$B$7</f>
        <v/>
      </c>
      <c r="G6" s="36">
        <f>'A-Girdiler'!$B$9+D6*'A-Girdiler'!$B$10+'A-Girdiler'!$B$11+IF(A6&gt;='A-Girdiler'!$B$12,'A-Girdiler'!$B$13,0)+IF(A6&gt;='A-Girdiler'!$B$14,'A-Girdiler'!$B$15,0)+B6*'A-Girdiler'!$B$17</f>
        <v/>
      </c>
      <c r="H6" s="36">
        <f>E6+F6-G6</f>
        <v/>
      </c>
      <c r="I6" s="36">
        <f>I5+H6</f>
        <v/>
      </c>
      <c r="J6" s="36">
        <f>IF(H6&lt;0,-H6,0)</f>
        <v/>
      </c>
    </row>
    <row r="7">
      <c r="A7" s="30" t="n">
        <v>3</v>
      </c>
      <c r="B7" s="30">
        <f>'A-Girdiler'!B24</f>
        <v/>
      </c>
      <c r="C7" s="30">
        <f>ROUND(D6*'A-Girdiler'!$B$8/100,2)</f>
        <v/>
      </c>
      <c r="D7" s="30">
        <f>MAX(0,D6-C7+B7)</f>
        <v/>
      </c>
      <c r="E7" s="34">
        <f>D7*'A-Girdiler'!$B$6</f>
        <v/>
      </c>
      <c r="F7" s="34">
        <f>B7*'A-Girdiler'!$B$7</f>
        <v/>
      </c>
      <c r="G7" s="34">
        <f>'A-Girdiler'!$B$9+D7*'A-Girdiler'!$B$10+'A-Girdiler'!$B$11+IF(A7&gt;='A-Girdiler'!$B$12,'A-Girdiler'!$B$13,0)+IF(A7&gt;='A-Girdiler'!$B$14,'A-Girdiler'!$B$15,0)+B7*'A-Girdiler'!$B$17</f>
        <v/>
      </c>
      <c r="H7" s="34">
        <f>E7+F7-G7</f>
        <v/>
      </c>
      <c r="I7" s="34">
        <f>I6+H7</f>
        <v/>
      </c>
      <c r="J7" s="34">
        <f>IF(H7&lt;0,-H7,0)</f>
        <v/>
      </c>
    </row>
    <row r="8">
      <c r="A8" s="35" t="n">
        <v>4</v>
      </c>
      <c r="B8" s="35">
        <f>'A-Girdiler'!B25</f>
        <v/>
      </c>
      <c r="C8" s="35">
        <f>ROUND(D7*'A-Girdiler'!$B$8/100,2)</f>
        <v/>
      </c>
      <c r="D8" s="35">
        <f>MAX(0,D7-C8+B8)</f>
        <v/>
      </c>
      <c r="E8" s="36">
        <f>D8*'A-Girdiler'!$B$6</f>
        <v/>
      </c>
      <c r="F8" s="36">
        <f>B8*'A-Girdiler'!$B$7</f>
        <v/>
      </c>
      <c r="G8" s="36">
        <f>'A-Girdiler'!$B$9+D8*'A-Girdiler'!$B$10+'A-Girdiler'!$B$11+IF(A8&gt;='A-Girdiler'!$B$12,'A-Girdiler'!$B$13,0)+IF(A8&gt;='A-Girdiler'!$B$14,'A-Girdiler'!$B$15,0)+B8*'A-Girdiler'!$B$17</f>
        <v/>
      </c>
      <c r="H8" s="36">
        <f>E8+F8-G8</f>
        <v/>
      </c>
      <c r="I8" s="36">
        <f>I7+H8</f>
        <v/>
      </c>
      <c r="J8" s="36">
        <f>IF(H8&lt;0,-H8,0)</f>
        <v/>
      </c>
    </row>
    <row r="9">
      <c r="A9" s="30" t="n">
        <v>5</v>
      </c>
      <c r="B9" s="30">
        <f>'A-Girdiler'!B26</f>
        <v/>
      </c>
      <c r="C9" s="30">
        <f>ROUND(D8*'A-Girdiler'!$B$8/100,2)</f>
        <v/>
      </c>
      <c r="D9" s="30">
        <f>MAX(0,D8-C9+B9)</f>
        <v/>
      </c>
      <c r="E9" s="34">
        <f>D9*'A-Girdiler'!$B$6</f>
        <v/>
      </c>
      <c r="F9" s="34">
        <f>B9*'A-Girdiler'!$B$7</f>
        <v/>
      </c>
      <c r="G9" s="34">
        <f>'A-Girdiler'!$B$9+D9*'A-Girdiler'!$B$10+'A-Girdiler'!$B$11+IF(A9&gt;='A-Girdiler'!$B$12,'A-Girdiler'!$B$13,0)+IF(A9&gt;='A-Girdiler'!$B$14,'A-Girdiler'!$B$15,0)+B9*'A-Girdiler'!$B$17</f>
        <v/>
      </c>
      <c r="H9" s="34">
        <f>E9+F9-G9</f>
        <v/>
      </c>
      <c r="I9" s="34">
        <f>I8+H9</f>
        <v/>
      </c>
      <c r="J9" s="34">
        <f>IF(H9&lt;0,-H9,0)</f>
        <v/>
      </c>
    </row>
    <row r="10">
      <c r="A10" s="35" t="n">
        <v>6</v>
      </c>
      <c r="B10" s="35">
        <f>'A-Girdiler'!B27</f>
        <v/>
      </c>
      <c r="C10" s="35">
        <f>ROUND(D9*'A-Girdiler'!$B$8/100,2)</f>
        <v/>
      </c>
      <c r="D10" s="35">
        <f>MAX(0,D9-C10+B10)</f>
        <v/>
      </c>
      <c r="E10" s="36">
        <f>D10*'A-Girdiler'!$B$6</f>
        <v/>
      </c>
      <c r="F10" s="36">
        <f>B10*'A-Girdiler'!$B$7</f>
        <v/>
      </c>
      <c r="G10" s="36">
        <f>'A-Girdiler'!$B$9+D10*'A-Girdiler'!$B$10+'A-Girdiler'!$B$11+IF(A10&gt;='A-Girdiler'!$B$12,'A-Girdiler'!$B$13,0)+IF(A10&gt;='A-Girdiler'!$B$14,'A-Girdiler'!$B$15,0)+B10*'A-Girdiler'!$B$17</f>
        <v/>
      </c>
      <c r="H10" s="36">
        <f>E10+F10-G10</f>
        <v/>
      </c>
      <c r="I10" s="36">
        <f>I9+H10</f>
        <v/>
      </c>
      <c r="J10" s="36">
        <f>IF(H10&lt;0,-H10,0)</f>
        <v/>
      </c>
    </row>
    <row r="11">
      <c r="A11" s="30" t="n">
        <v>7</v>
      </c>
      <c r="B11" s="30">
        <f>'A-Girdiler'!B28</f>
        <v/>
      </c>
      <c r="C11" s="30">
        <f>ROUND(D10*'A-Girdiler'!$B$8/100,2)</f>
        <v/>
      </c>
      <c r="D11" s="30">
        <f>MAX(0,D10-C11+B11)</f>
        <v/>
      </c>
      <c r="E11" s="34">
        <f>D11*'A-Girdiler'!$B$6</f>
        <v/>
      </c>
      <c r="F11" s="34">
        <f>B11*'A-Girdiler'!$B$7</f>
        <v/>
      </c>
      <c r="G11" s="34">
        <f>'A-Girdiler'!$B$9+D11*'A-Girdiler'!$B$10+'A-Girdiler'!$B$11+IF(A11&gt;='A-Girdiler'!$B$12,'A-Girdiler'!$B$13,0)+IF(A11&gt;='A-Girdiler'!$B$14,'A-Girdiler'!$B$15,0)+B11*'A-Girdiler'!$B$17</f>
        <v/>
      </c>
      <c r="H11" s="34">
        <f>E11+F11-G11</f>
        <v/>
      </c>
      <c r="I11" s="34">
        <f>I10+H11</f>
        <v/>
      </c>
      <c r="J11" s="34">
        <f>IF(H11&lt;0,-H11,0)</f>
        <v/>
      </c>
    </row>
    <row r="12">
      <c r="A12" s="35" t="n">
        <v>8</v>
      </c>
      <c r="B12" s="35">
        <f>'A-Girdiler'!B29</f>
        <v/>
      </c>
      <c r="C12" s="35">
        <f>ROUND(D11*'A-Girdiler'!$B$8/100,2)</f>
        <v/>
      </c>
      <c r="D12" s="35">
        <f>MAX(0,D11-C12+B12)</f>
        <v/>
      </c>
      <c r="E12" s="36">
        <f>D12*'A-Girdiler'!$B$6</f>
        <v/>
      </c>
      <c r="F12" s="36">
        <f>B12*'A-Girdiler'!$B$7</f>
        <v/>
      </c>
      <c r="G12" s="36">
        <f>'A-Girdiler'!$B$9+D12*'A-Girdiler'!$B$10+'A-Girdiler'!$B$11+IF(A12&gt;='A-Girdiler'!$B$12,'A-Girdiler'!$B$13,0)+IF(A12&gt;='A-Girdiler'!$B$14,'A-Girdiler'!$B$15,0)+B12*'A-Girdiler'!$B$17</f>
        <v/>
      </c>
      <c r="H12" s="36">
        <f>E12+F12-G12</f>
        <v/>
      </c>
      <c r="I12" s="36">
        <f>I11+H12</f>
        <v/>
      </c>
      <c r="J12" s="36">
        <f>IF(H12&lt;0,-H12,0)</f>
        <v/>
      </c>
    </row>
    <row r="13">
      <c r="A13" s="30" t="n">
        <v>9</v>
      </c>
      <c r="B13" s="30">
        <f>'A-Girdiler'!B30</f>
        <v/>
      </c>
      <c r="C13" s="30">
        <f>ROUND(D12*'A-Girdiler'!$B$8/100,2)</f>
        <v/>
      </c>
      <c r="D13" s="30">
        <f>MAX(0,D12-C13+B13)</f>
        <v/>
      </c>
      <c r="E13" s="34">
        <f>D13*'A-Girdiler'!$B$6</f>
        <v/>
      </c>
      <c r="F13" s="34">
        <f>B13*'A-Girdiler'!$B$7</f>
        <v/>
      </c>
      <c r="G13" s="34">
        <f>'A-Girdiler'!$B$9+D13*'A-Girdiler'!$B$10+'A-Girdiler'!$B$11+IF(A13&gt;='A-Girdiler'!$B$12,'A-Girdiler'!$B$13,0)+IF(A13&gt;='A-Girdiler'!$B$14,'A-Girdiler'!$B$15,0)+B13*'A-Girdiler'!$B$17</f>
        <v/>
      </c>
      <c r="H13" s="34">
        <f>E13+F13-G13</f>
        <v/>
      </c>
      <c r="I13" s="34">
        <f>I12+H13</f>
        <v/>
      </c>
      <c r="J13" s="34">
        <f>IF(H13&lt;0,-H13,0)</f>
        <v/>
      </c>
    </row>
    <row r="14">
      <c r="A14" s="35" t="n">
        <v>10</v>
      </c>
      <c r="B14" s="35">
        <f>'A-Girdiler'!B31</f>
        <v/>
      </c>
      <c r="C14" s="35">
        <f>ROUND(D13*'A-Girdiler'!$B$8/100,2)</f>
        <v/>
      </c>
      <c r="D14" s="35">
        <f>MAX(0,D13-C14+B14)</f>
        <v/>
      </c>
      <c r="E14" s="36">
        <f>D14*'A-Girdiler'!$B$6</f>
        <v/>
      </c>
      <c r="F14" s="36">
        <f>B14*'A-Girdiler'!$B$7</f>
        <v/>
      </c>
      <c r="G14" s="36">
        <f>'A-Girdiler'!$B$9+D14*'A-Girdiler'!$B$10+'A-Girdiler'!$B$11+IF(A14&gt;='A-Girdiler'!$B$12,'A-Girdiler'!$B$13,0)+IF(A14&gt;='A-Girdiler'!$B$14,'A-Girdiler'!$B$15,0)+B14*'A-Girdiler'!$B$17</f>
        <v/>
      </c>
      <c r="H14" s="36">
        <f>E14+F14-G14</f>
        <v/>
      </c>
      <c r="I14" s="36">
        <f>I13+H14</f>
        <v/>
      </c>
      <c r="J14" s="36">
        <f>IF(H14&lt;0,-H14,0)</f>
        <v/>
      </c>
    </row>
    <row r="15">
      <c r="A15" s="30" t="n">
        <v>11</v>
      </c>
      <c r="B15" s="30">
        <f>'A-Girdiler'!B32</f>
        <v/>
      </c>
      <c r="C15" s="30">
        <f>ROUND(D14*'A-Girdiler'!$B$8/100,2)</f>
        <v/>
      </c>
      <c r="D15" s="30">
        <f>MAX(0,D14-C15+B15)</f>
        <v/>
      </c>
      <c r="E15" s="34">
        <f>D15*'A-Girdiler'!$B$6</f>
        <v/>
      </c>
      <c r="F15" s="34">
        <f>B15*'A-Girdiler'!$B$7</f>
        <v/>
      </c>
      <c r="G15" s="34">
        <f>'A-Girdiler'!$B$9+D15*'A-Girdiler'!$B$10+'A-Girdiler'!$B$11+IF(A15&gt;='A-Girdiler'!$B$12,'A-Girdiler'!$B$13,0)+IF(A15&gt;='A-Girdiler'!$B$14,'A-Girdiler'!$B$15,0)+B15*'A-Girdiler'!$B$17</f>
        <v/>
      </c>
      <c r="H15" s="34">
        <f>E15+F15-G15</f>
        <v/>
      </c>
      <c r="I15" s="34">
        <f>I14+H15</f>
        <v/>
      </c>
      <c r="J15" s="34">
        <f>IF(H15&lt;0,-H15,0)</f>
        <v/>
      </c>
    </row>
    <row r="16">
      <c r="A16" s="35" t="n">
        <v>12</v>
      </c>
      <c r="B16" s="35">
        <f>'A-Girdiler'!B33</f>
        <v/>
      </c>
      <c r="C16" s="35">
        <f>ROUND(D15*'A-Girdiler'!$B$8/100,2)</f>
        <v/>
      </c>
      <c r="D16" s="35">
        <f>MAX(0,D15-C16+B16)</f>
        <v/>
      </c>
      <c r="E16" s="36">
        <f>D16*'A-Girdiler'!$B$6</f>
        <v/>
      </c>
      <c r="F16" s="36">
        <f>B16*'A-Girdiler'!$B$7</f>
        <v/>
      </c>
      <c r="G16" s="36">
        <f>'A-Girdiler'!$B$9+D16*'A-Girdiler'!$B$10+'A-Girdiler'!$B$11+IF(A16&gt;='A-Girdiler'!$B$12,'A-Girdiler'!$B$13,0)+IF(A16&gt;='A-Girdiler'!$B$14,'A-Girdiler'!$B$15,0)+B16*'A-Girdiler'!$B$17</f>
        <v/>
      </c>
      <c r="H16" s="36">
        <f>E16+F16-G16</f>
        <v/>
      </c>
      <c r="I16" s="36">
        <f>I15+H16</f>
        <v/>
      </c>
      <c r="J16" s="36">
        <f>IF(H16&lt;0,-H16,0)</f>
        <v/>
      </c>
    </row>
    <row r="17">
      <c r="A17" s="30" t="n">
        <v>13</v>
      </c>
      <c r="B17" s="30">
        <f>'A-Girdiler'!B34</f>
        <v/>
      </c>
      <c r="C17" s="30">
        <f>ROUND(D16*'A-Girdiler'!$B$8/100,2)</f>
        <v/>
      </c>
      <c r="D17" s="30">
        <f>MAX(0,D16-C17+B17)</f>
        <v/>
      </c>
      <c r="E17" s="34">
        <f>D17*'A-Girdiler'!$B$6</f>
        <v/>
      </c>
      <c r="F17" s="34">
        <f>B17*'A-Girdiler'!$B$7</f>
        <v/>
      </c>
      <c r="G17" s="34">
        <f>'A-Girdiler'!$B$9+D17*'A-Girdiler'!$B$10+'A-Girdiler'!$B$11+IF(A17&gt;='A-Girdiler'!$B$12,'A-Girdiler'!$B$13,0)+IF(A17&gt;='A-Girdiler'!$B$14,'A-Girdiler'!$B$15,0)+B17*'A-Girdiler'!$B$17</f>
        <v/>
      </c>
      <c r="H17" s="34">
        <f>E17+F17-G17</f>
        <v/>
      </c>
      <c r="I17" s="34">
        <f>I16+H17</f>
        <v/>
      </c>
      <c r="J17" s="34">
        <f>IF(H17&lt;0,-H17,0)</f>
        <v/>
      </c>
    </row>
    <row r="18">
      <c r="A18" s="35" t="n">
        <v>14</v>
      </c>
      <c r="B18" s="35">
        <f>'A-Girdiler'!B35</f>
        <v/>
      </c>
      <c r="C18" s="35">
        <f>ROUND(D17*'A-Girdiler'!$B$8/100,2)</f>
        <v/>
      </c>
      <c r="D18" s="35">
        <f>MAX(0,D17-C18+B18)</f>
        <v/>
      </c>
      <c r="E18" s="36">
        <f>D18*'A-Girdiler'!$B$6</f>
        <v/>
      </c>
      <c r="F18" s="36">
        <f>B18*'A-Girdiler'!$B$7</f>
        <v/>
      </c>
      <c r="G18" s="36">
        <f>'A-Girdiler'!$B$9+D18*'A-Girdiler'!$B$10+'A-Girdiler'!$B$11+IF(A18&gt;='A-Girdiler'!$B$12,'A-Girdiler'!$B$13,0)+IF(A18&gt;='A-Girdiler'!$B$14,'A-Girdiler'!$B$15,0)+B18*'A-Girdiler'!$B$17</f>
        <v/>
      </c>
      <c r="H18" s="36">
        <f>E18+F18-G18</f>
        <v/>
      </c>
      <c r="I18" s="36">
        <f>I17+H18</f>
        <v/>
      </c>
      <c r="J18" s="36">
        <f>IF(H18&lt;0,-H18,0)</f>
        <v/>
      </c>
    </row>
    <row r="19">
      <c r="A19" s="30" t="n">
        <v>15</v>
      </c>
      <c r="B19" s="30">
        <f>'A-Girdiler'!B36</f>
        <v/>
      </c>
      <c r="C19" s="30">
        <f>ROUND(D18*'A-Girdiler'!$B$8/100,2)</f>
        <v/>
      </c>
      <c r="D19" s="30">
        <f>MAX(0,D18-C19+B19)</f>
        <v/>
      </c>
      <c r="E19" s="34">
        <f>D19*'A-Girdiler'!$B$6</f>
        <v/>
      </c>
      <c r="F19" s="34">
        <f>B19*'A-Girdiler'!$B$7</f>
        <v/>
      </c>
      <c r="G19" s="34">
        <f>'A-Girdiler'!$B$9+D19*'A-Girdiler'!$B$10+'A-Girdiler'!$B$11+IF(A19&gt;='A-Girdiler'!$B$12,'A-Girdiler'!$B$13,0)+IF(A19&gt;='A-Girdiler'!$B$14,'A-Girdiler'!$B$15,0)+B19*'A-Girdiler'!$B$17</f>
        <v/>
      </c>
      <c r="H19" s="34">
        <f>E19+F19-G19</f>
        <v/>
      </c>
      <c r="I19" s="34">
        <f>I18+H19</f>
        <v/>
      </c>
      <c r="J19" s="34">
        <f>IF(H19&lt;0,-H19,0)</f>
        <v/>
      </c>
    </row>
    <row r="20">
      <c r="A20" s="35" t="n">
        <v>16</v>
      </c>
      <c r="B20" s="35">
        <f>'A-Girdiler'!B37</f>
        <v/>
      </c>
      <c r="C20" s="35">
        <f>ROUND(D19*'A-Girdiler'!$B$8/100,2)</f>
        <v/>
      </c>
      <c r="D20" s="35">
        <f>MAX(0,D19-C20+B20)</f>
        <v/>
      </c>
      <c r="E20" s="36">
        <f>D20*'A-Girdiler'!$B$6</f>
        <v/>
      </c>
      <c r="F20" s="36">
        <f>B20*'A-Girdiler'!$B$7</f>
        <v/>
      </c>
      <c r="G20" s="36">
        <f>'A-Girdiler'!$B$9+D20*'A-Girdiler'!$B$10+'A-Girdiler'!$B$11+IF(A20&gt;='A-Girdiler'!$B$12,'A-Girdiler'!$B$13,0)+IF(A20&gt;='A-Girdiler'!$B$14,'A-Girdiler'!$B$15,0)+B20*'A-Girdiler'!$B$17</f>
        <v/>
      </c>
      <c r="H20" s="36">
        <f>E20+F20-G20</f>
        <v/>
      </c>
      <c r="I20" s="36">
        <f>I19+H20</f>
        <v/>
      </c>
      <c r="J20" s="36">
        <f>IF(H20&lt;0,-H20,0)</f>
        <v/>
      </c>
    </row>
    <row r="21">
      <c r="A21" s="30" t="n">
        <v>17</v>
      </c>
      <c r="B21" s="30">
        <f>'A-Girdiler'!B38</f>
        <v/>
      </c>
      <c r="C21" s="30">
        <f>ROUND(D20*'A-Girdiler'!$B$8/100,2)</f>
        <v/>
      </c>
      <c r="D21" s="30">
        <f>MAX(0,D20-C21+B21)</f>
        <v/>
      </c>
      <c r="E21" s="34">
        <f>D21*'A-Girdiler'!$B$6</f>
        <v/>
      </c>
      <c r="F21" s="34">
        <f>B21*'A-Girdiler'!$B$7</f>
        <v/>
      </c>
      <c r="G21" s="34">
        <f>'A-Girdiler'!$B$9+D21*'A-Girdiler'!$B$10+'A-Girdiler'!$B$11+IF(A21&gt;='A-Girdiler'!$B$12,'A-Girdiler'!$B$13,0)+IF(A21&gt;='A-Girdiler'!$B$14,'A-Girdiler'!$B$15,0)+B21*'A-Girdiler'!$B$17</f>
        <v/>
      </c>
      <c r="H21" s="34">
        <f>E21+F21-G21</f>
        <v/>
      </c>
      <c r="I21" s="34">
        <f>I20+H21</f>
        <v/>
      </c>
      <c r="J21" s="34">
        <f>IF(H21&lt;0,-H21,0)</f>
        <v/>
      </c>
    </row>
    <row r="22">
      <c r="A22" s="35" t="n">
        <v>18</v>
      </c>
      <c r="B22" s="35">
        <f>'A-Girdiler'!B39</f>
        <v/>
      </c>
      <c r="C22" s="35">
        <f>ROUND(D21*'A-Girdiler'!$B$8/100,2)</f>
        <v/>
      </c>
      <c r="D22" s="35">
        <f>MAX(0,D21-C22+B22)</f>
        <v/>
      </c>
      <c r="E22" s="36">
        <f>D22*'A-Girdiler'!$B$6</f>
        <v/>
      </c>
      <c r="F22" s="36">
        <f>B22*'A-Girdiler'!$B$7</f>
        <v/>
      </c>
      <c r="G22" s="36">
        <f>'A-Girdiler'!$B$9+D22*'A-Girdiler'!$B$10+'A-Girdiler'!$B$11+IF(A22&gt;='A-Girdiler'!$B$12,'A-Girdiler'!$B$13,0)+IF(A22&gt;='A-Girdiler'!$B$14,'A-Girdiler'!$B$15,0)+B22*'A-Girdiler'!$B$17</f>
        <v/>
      </c>
      <c r="H22" s="36">
        <f>E22+F22-G22</f>
        <v/>
      </c>
      <c r="I22" s="36">
        <f>I21+H22</f>
        <v/>
      </c>
      <c r="J22" s="36">
        <f>IF(H22&lt;0,-H22,0)</f>
        <v/>
      </c>
    </row>
    <row r="23">
      <c r="A23" s="30" t="n">
        <v>19</v>
      </c>
      <c r="B23" s="30">
        <f>'A-Girdiler'!B40</f>
        <v/>
      </c>
      <c r="C23" s="30">
        <f>ROUND(D22*'A-Girdiler'!$B$8/100,2)</f>
        <v/>
      </c>
      <c r="D23" s="30">
        <f>MAX(0,D22-C23+B23)</f>
        <v/>
      </c>
      <c r="E23" s="34">
        <f>D23*'A-Girdiler'!$B$6</f>
        <v/>
      </c>
      <c r="F23" s="34">
        <f>B23*'A-Girdiler'!$B$7</f>
        <v/>
      </c>
      <c r="G23" s="34">
        <f>'A-Girdiler'!$B$9+D23*'A-Girdiler'!$B$10+'A-Girdiler'!$B$11+IF(A23&gt;='A-Girdiler'!$B$12,'A-Girdiler'!$B$13,0)+IF(A23&gt;='A-Girdiler'!$B$14,'A-Girdiler'!$B$15,0)+B23*'A-Girdiler'!$B$17</f>
        <v/>
      </c>
      <c r="H23" s="34">
        <f>E23+F23-G23</f>
        <v/>
      </c>
      <c r="I23" s="34">
        <f>I22+H23</f>
        <v/>
      </c>
      <c r="J23" s="34">
        <f>IF(H23&lt;0,-H23,0)</f>
        <v/>
      </c>
    </row>
    <row r="24">
      <c r="A24" s="35" t="n">
        <v>20</v>
      </c>
      <c r="B24" s="35">
        <f>'A-Girdiler'!B41</f>
        <v/>
      </c>
      <c r="C24" s="35">
        <f>ROUND(D23*'A-Girdiler'!$B$8/100,2)</f>
        <v/>
      </c>
      <c r="D24" s="35">
        <f>MAX(0,D23-C24+B24)</f>
        <v/>
      </c>
      <c r="E24" s="36">
        <f>D24*'A-Girdiler'!$B$6</f>
        <v/>
      </c>
      <c r="F24" s="36">
        <f>B24*'A-Girdiler'!$B$7</f>
        <v/>
      </c>
      <c r="G24" s="36">
        <f>'A-Girdiler'!$B$9+D24*'A-Girdiler'!$B$10+'A-Girdiler'!$B$11+IF(A24&gt;='A-Girdiler'!$B$12,'A-Girdiler'!$B$13,0)+IF(A24&gt;='A-Girdiler'!$B$14,'A-Girdiler'!$B$15,0)+B24*'A-Girdiler'!$B$17</f>
        <v/>
      </c>
      <c r="H24" s="36">
        <f>E24+F24-G24</f>
        <v/>
      </c>
      <c r="I24" s="36">
        <f>I23+H24</f>
        <v/>
      </c>
      <c r="J24" s="36">
        <f>IF(H24&lt;0,-H24,0)</f>
        <v/>
      </c>
    </row>
    <row r="25">
      <c r="A25" s="30" t="n">
        <v>21</v>
      </c>
      <c r="B25" s="30">
        <f>'A-Girdiler'!B42</f>
        <v/>
      </c>
      <c r="C25" s="30">
        <f>ROUND(D24*'A-Girdiler'!$B$8/100,2)</f>
        <v/>
      </c>
      <c r="D25" s="30">
        <f>MAX(0,D24-C25+B25)</f>
        <v/>
      </c>
      <c r="E25" s="34">
        <f>D25*'A-Girdiler'!$B$6</f>
        <v/>
      </c>
      <c r="F25" s="34">
        <f>B25*'A-Girdiler'!$B$7</f>
        <v/>
      </c>
      <c r="G25" s="34">
        <f>'A-Girdiler'!$B$9+D25*'A-Girdiler'!$B$10+'A-Girdiler'!$B$11+IF(A25&gt;='A-Girdiler'!$B$12,'A-Girdiler'!$B$13,0)+IF(A25&gt;='A-Girdiler'!$B$14,'A-Girdiler'!$B$15,0)+B25*'A-Girdiler'!$B$17</f>
        <v/>
      </c>
      <c r="H25" s="34">
        <f>E25+F25-G25</f>
        <v/>
      </c>
      <c r="I25" s="34">
        <f>I24+H25</f>
        <v/>
      </c>
      <c r="J25" s="34">
        <f>IF(H25&lt;0,-H25,0)</f>
        <v/>
      </c>
    </row>
    <row r="26">
      <c r="A26" s="35" t="n">
        <v>22</v>
      </c>
      <c r="B26" s="35">
        <f>'A-Girdiler'!B43</f>
        <v/>
      </c>
      <c r="C26" s="35">
        <f>ROUND(D25*'A-Girdiler'!$B$8/100,2)</f>
        <v/>
      </c>
      <c r="D26" s="35">
        <f>MAX(0,D25-C26+B26)</f>
        <v/>
      </c>
      <c r="E26" s="36">
        <f>D26*'A-Girdiler'!$B$6</f>
        <v/>
      </c>
      <c r="F26" s="36">
        <f>B26*'A-Girdiler'!$B$7</f>
        <v/>
      </c>
      <c r="G26" s="36">
        <f>'A-Girdiler'!$B$9+D26*'A-Girdiler'!$B$10+'A-Girdiler'!$B$11+IF(A26&gt;='A-Girdiler'!$B$12,'A-Girdiler'!$B$13,0)+IF(A26&gt;='A-Girdiler'!$B$14,'A-Girdiler'!$B$15,0)+B26*'A-Girdiler'!$B$17</f>
        <v/>
      </c>
      <c r="H26" s="36">
        <f>E26+F26-G26</f>
        <v/>
      </c>
      <c r="I26" s="36">
        <f>I25+H26</f>
        <v/>
      </c>
      <c r="J26" s="36">
        <f>IF(H26&lt;0,-H26,0)</f>
        <v/>
      </c>
    </row>
    <row r="27">
      <c r="A27" s="30" t="n">
        <v>23</v>
      </c>
      <c r="B27" s="30">
        <f>'A-Girdiler'!B44</f>
        <v/>
      </c>
      <c r="C27" s="30">
        <f>ROUND(D26*'A-Girdiler'!$B$8/100,2)</f>
        <v/>
      </c>
      <c r="D27" s="30">
        <f>MAX(0,D26-C27+B27)</f>
        <v/>
      </c>
      <c r="E27" s="34">
        <f>D27*'A-Girdiler'!$B$6</f>
        <v/>
      </c>
      <c r="F27" s="34">
        <f>B27*'A-Girdiler'!$B$7</f>
        <v/>
      </c>
      <c r="G27" s="34">
        <f>'A-Girdiler'!$B$9+D27*'A-Girdiler'!$B$10+'A-Girdiler'!$B$11+IF(A27&gt;='A-Girdiler'!$B$12,'A-Girdiler'!$B$13,0)+IF(A27&gt;='A-Girdiler'!$B$14,'A-Girdiler'!$B$15,0)+B27*'A-Girdiler'!$B$17</f>
        <v/>
      </c>
      <c r="H27" s="34">
        <f>E27+F27-G27</f>
        <v/>
      </c>
      <c r="I27" s="34">
        <f>I26+H27</f>
        <v/>
      </c>
      <c r="J27" s="34">
        <f>IF(H27&lt;0,-H27,0)</f>
        <v/>
      </c>
    </row>
    <row r="28">
      <c r="A28" s="35" t="n">
        <v>24</v>
      </c>
      <c r="B28" s="35">
        <f>'A-Girdiler'!B45</f>
        <v/>
      </c>
      <c r="C28" s="35">
        <f>ROUND(D27*'A-Girdiler'!$B$8/100,2)</f>
        <v/>
      </c>
      <c r="D28" s="35">
        <f>MAX(0,D27-C28+B28)</f>
        <v/>
      </c>
      <c r="E28" s="36">
        <f>D28*'A-Girdiler'!$B$6</f>
        <v/>
      </c>
      <c r="F28" s="36">
        <f>B28*'A-Girdiler'!$B$7</f>
        <v/>
      </c>
      <c r="G28" s="36">
        <f>'A-Girdiler'!$B$9+D28*'A-Girdiler'!$B$10+'A-Girdiler'!$B$11+IF(A28&gt;='A-Girdiler'!$B$12,'A-Girdiler'!$B$13,0)+IF(A28&gt;='A-Girdiler'!$B$14,'A-Girdiler'!$B$15,0)+B28*'A-Girdiler'!$B$17</f>
        <v/>
      </c>
      <c r="H28" s="36">
        <f>E28+F28-G28</f>
        <v/>
      </c>
      <c r="I28" s="36">
        <f>I27+H28</f>
        <v/>
      </c>
      <c r="J28" s="36">
        <f>IF(H28&lt;0,-H28,0)</f>
        <v/>
      </c>
    </row>
    <row r="33">
      <c r="A33" s="37" t="inlineStr">
        <is>
          <t>MODEL ÖZETİ</t>
        </is>
      </c>
      <c r="N33" s="38">
        <f>D28</f>
        <v/>
      </c>
    </row>
    <row r="34">
      <c r="A34" s="39" t="inlineStr">
        <is>
          <t>Aktif klinik (ay 12)</t>
        </is>
      </c>
      <c r="B34" s="40">
        <f>D28</f>
        <v/>
      </c>
      <c r="N34">
        <f>D28</f>
        <v/>
      </c>
    </row>
    <row r="35">
      <c r="A35" s="39" t="inlineStr">
        <is>
          <t>Aktif klinik (ay 24)</t>
        </is>
      </c>
      <c r="B35" s="40">
        <f>D40</f>
        <v/>
      </c>
      <c r="N35" s="38">
        <f>E28</f>
        <v/>
      </c>
    </row>
    <row r="36">
      <c r="A36" s="39" t="inlineStr">
        <is>
          <t>MRR ay 12</t>
        </is>
      </c>
      <c r="B36" s="40">
        <f>E28</f>
        <v/>
      </c>
      <c r="N36">
        <f>E28</f>
        <v/>
      </c>
    </row>
    <row r="37">
      <c r="A37" s="39" t="inlineStr">
        <is>
          <t>MRR ay 24</t>
        </is>
      </c>
      <c r="B37" s="40">
        <f>E40</f>
        <v/>
      </c>
      <c r="N37">
        <f>IFERROR(MATCH(TRUE,E5:E28&gt;=G5:G28,0)&amp;". ay","12+")</f>
        <v/>
      </c>
    </row>
    <row r="38">
      <c r="A38" s="39" t="inlineStr">
        <is>
          <t>Başabaş ayı</t>
        </is>
      </c>
      <c r="B38" s="40">
        <f>IFERROR(MATCH(TRUE,E5:E28&gt;=G5:G28,0),"&gt;12")</f>
        <v/>
      </c>
    </row>
    <row r="39">
      <c r="A39" s="39" t="inlineStr">
        <is>
          <t>Toplam kurulum geliri Y1</t>
        </is>
      </c>
      <c r="B39" s="40">
        <f>SUM(F5:F16)</f>
        <v/>
      </c>
      <c r="N39" s="38">
        <f>I16-'A-Girdiler'!$B$16</f>
        <v/>
      </c>
    </row>
    <row r="40">
      <c r="A40" s="39" t="inlineStr">
        <is>
          <t>Yıl 1 net (kümülatif ay 12 - başlangıç)</t>
        </is>
      </c>
      <c r="B40" s="40">
        <f>I16-'A-Girdiler'!$B$16</f>
        <v/>
      </c>
    </row>
    <row r="41">
      <c r="A41" s="39" t="inlineStr">
        <is>
          <t>Yıl 2 MRR (ay 24)</t>
        </is>
      </c>
      <c r="B41" s="40">
        <f>E40</f>
        <v/>
      </c>
    </row>
    <row r="42">
      <c r="A42" s="39" t="inlineStr">
        <is>
          <t>Ortalama aylık burn Y1</t>
        </is>
      </c>
      <c r="B42" s="40">
        <f>AVERAGE(J5:J16)</f>
        <v/>
      </c>
      <c r="N42" s="38">
        <f>AVERAGE(J5:J16)</f>
        <v/>
      </c>
    </row>
    <row r="43">
      <c r="A43" s="39" t="inlineStr">
        <is>
          <t>Runway (ay) — başlangıç/burn</t>
        </is>
      </c>
      <c r="B43" s="40">
        <f>IF(J16&gt;0,'A-Girdiler'!$B$17/J16,"&gt;24")</f>
        <v/>
      </c>
      <c r="N43">
        <f>IF(N42&gt;0,'A-Girdiler'!$B$16/N42,"&gt;24")</f>
        <v/>
      </c>
    </row>
  </sheetData>
  <mergeCells count="3">
    <mergeCell ref="A33:B33"/>
    <mergeCell ref="A2:H2"/>
    <mergeCell ref="A1:H1"/>
  </mergeCells>
  <conditionalFormatting sqref="H5:H2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DUYARLILIK ANALİZİ</t>
        </is>
      </c>
    </row>
    <row r="2">
      <c r="A2" s="2" t="inlineStr">
        <is>
          <t>Paket fiyatı × klinik sayısı → yıllık gelir (₺)</t>
        </is>
      </c>
    </row>
    <row r="4">
      <c r="A4" s="41" t="inlineStr">
        <is>
          <t>Klinik ↓ / Fiyat →</t>
        </is>
      </c>
      <c r="B4" s="42" t="n">
        <v>4990</v>
      </c>
      <c r="C4" s="42" t="n">
        <v>5990</v>
      </c>
      <c r="D4" s="42" t="n">
        <v>6990</v>
      </c>
      <c r="E4" s="42" t="n">
        <v>7990</v>
      </c>
      <c r="F4" s="42" t="n">
        <v>8990</v>
      </c>
      <c r="G4" s="42" t="n">
        <v>9990</v>
      </c>
      <c r="H4" s="42" t="n">
        <v>11990</v>
      </c>
      <c r="I4" s="42" t="n">
        <v>14990</v>
      </c>
    </row>
    <row r="5">
      <c r="A5" s="43" t="n">
        <v>3</v>
      </c>
      <c r="B5" s="34" t="n">
        <v>179640</v>
      </c>
      <c r="C5" s="34" t="n">
        <v>215640</v>
      </c>
      <c r="D5" s="34" t="n">
        <v>251640</v>
      </c>
      <c r="E5" s="34" t="n">
        <v>287640</v>
      </c>
      <c r="F5" s="34" t="n">
        <v>323640</v>
      </c>
      <c r="G5" s="34" t="n">
        <v>359640</v>
      </c>
      <c r="H5" s="34" t="n">
        <v>431640</v>
      </c>
      <c r="I5" s="34" t="n">
        <v>539640</v>
      </c>
    </row>
    <row r="6">
      <c r="A6" s="43" t="n">
        <v>5</v>
      </c>
      <c r="B6" s="34" t="n">
        <v>299400</v>
      </c>
      <c r="C6" s="34" t="n">
        <v>359400</v>
      </c>
      <c r="D6" s="34" t="n">
        <v>419400</v>
      </c>
      <c r="E6" s="34" t="n">
        <v>479400</v>
      </c>
      <c r="F6" s="34" t="n">
        <v>539400</v>
      </c>
      <c r="G6" s="34" t="n">
        <v>599400</v>
      </c>
      <c r="H6" s="34" t="n">
        <v>719400</v>
      </c>
      <c r="I6" s="34" t="n">
        <v>899400</v>
      </c>
    </row>
    <row r="7">
      <c r="A7" s="43" t="n">
        <v>8</v>
      </c>
      <c r="B7" s="34" t="n">
        <v>479040</v>
      </c>
      <c r="C7" s="34" t="n">
        <v>575040</v>
      </c>
      <c r="D7" s="34" t="n">
        <v>671040</v>
      </c>
      <c r="E7" s="34" t="n">
        <v>767040</v>
      </c>
      <c r="F7" s="34" t="n">
        <v>863040</v>
      </c>
      <c r="G7" s="34" t="n">
        <v>959040</v>
      </c>
      <c r="H7" s="34" t="n">
        <v>1151040</v>
      </c>
      <c r="I7" s="34" t="n">
        <v>1439040</v>
      </c>
    </row>
    <row r="8">
      <c r="A8" s="43" t="n">
        <v>10</v>
      </c>
      <c r="B8" s="34" t="n">
        <v>598800</v>
      </c>
      <c r="C8" s="34" t="n">
        <v>718800</v>
      </c>
      <c r="D8" s="34" t="n">
        <v>838800</v>
      </c>
      <c r="E8" s="34" t="n">
        <v>958800</v>
      </c>
      <c r="F8" s="34" t="n">
        <v>1078800</v>
      </c>
      <c r="G8" s="34" t="n">
        <v>1198800</v>
      </c>
      <c r="H8" s="34" t="n">
        <v>1438800</v>
      </c>
      <c r="I8" s="34" t="n">
        <v>1798800</v>
      </c>
    </row>
    <row r="9">
      <c r="A9" s="43" t="n">
        <v>15</v>
      </c>
      <c r="B9" s="34" t="n">
        <v>898200</v>
      </c>
      <c r="C9" s="34" t="n">
        <v>1078200</v>
      </c>
      <c r="D9" s="34" t="n">
        <v>1258200</v>
      </c>
      <c r="E9" s="34" t="n">
        <v>1438200</v>
      </c>
      <c r="F9" s="34" t="n">
        <v>1618200</v>
      </c>
      <c r="G9" s="34" t="n">
        <v>1798200</v>
      </c>
      <c r="H9" s="34" t="n">
        <v>2158200</v>
      </c>
      <c r="I9" s="34" t="n">
        <v>2698200</v>
      </c>
    </row>
    <row r="10">
      <c r="A10" s="43" t="n">
        <v>20</v>
      </c>
      <c r="B10" s="34" t="n">
        <v>1197600</v>
      </c>
      <c r="C10" s="34" t="n">
        <v>1437600</v>
      </c>
      <c r="D10" s="34" t="n">
        <v>1677600</v>
      </c>
      <c r="E10" s="34" t="n">
        <v>1917600</v>
      </c>
      <c r="F10" s="34" t="n">
        <v>2157600</v>
      </c>
      <c r="G10" s="34" t="n">
        <v>2397600</v>
      </c>
      <c r="H10" s="34" t="n">
        <v>2877600</v>
      </c>
      <c r="I10" s="34" t="n">
        <v>3597600</v>
      </c>
    </row>
    <row r="11">
      <c r="A11" s="43" t="n">
        <v>25</v>
      </c>
      <c r="B11" s="34" t="n">
        <v>1497000</v>
      </c>
      <c r="C11" s="34" t="n">
        <v>1797000</v>
      </c>
      <c r="D11" s="34" t="n">
        <v>2097000</v>
      </c>
      <c r="E11" s="34" t="n">
        <v>2397000</v>
      </c>
      <c r="F11" s="34" t="n">
        <v>2697000</v>
      </c>
      <c r="G11" s="34" t="n">
        <v>2997000</v>
      </c>
      <c r="H11" s="34" t="n">
        <v>3597000</v>
      </c>
      <c r="I11" s="34" t="n">
        <v>4497000</v>
      </c>
    </row>
    <row r="12">
      <c r="A12" s="43" t="n">
        <v>30</v>
      </c>
      <c r="B12" s="34" t="n">
        <v>1796400</v>
      </c>
      <c r="C12" s="34" t="n">
        <v>2156400</v>
      </c>
      <c r="D12" s="34" t="n">
        <v>2516400</v>
      </c>
      <c r="E12" s="34" t="n">
        <v>2876400</v>
      </c>
      <c r="F12" s="34" t="n">
        <v>3236400</v>
      </c>
      <c r="G12" s="34" t="n">
        <v>3596400</v>
      </c>
      <c r="H12" s="34" t="n">
        <v>4316400</v>
      </c>
      <c r="I12" s="34" t="n">
        <v>5396400</v>
      </c>
    </row>
    <row r="14">
      <c r="A14" s="1" t="inlineStr">
        <is>
          <t>Churn etkisi — 12. ay aktif klinik</t>
        </is>
      </c>
    </row>
    <row r="16">
      <c r="A16" s="17" t="inlineStr">
        <is>
          <t>Aylık churn</t>
        </is>
      </c>
      <c r="B16" s="17" t="inlineStr">
        <is>
          <t>8. ay aktif (başlangıç rampa)</t>
        </is>
      </c>
      <c r="C16" s="17" t="inlineStr">
        <is>
          <t>12. ay MRR (₺)</t>
        </is>
      </c>
    </row>
    <row r="17">
      <c r="A17" s="30" t="inlineStr">
        <is>
          <t>%2</t>
        </is>
      </c>
      <c r="B17" s="30" t="n">
        <v>5</v>
      </c>
      <c r="C17" s="34" t="n">
        <v>39950</v>
      </c>
    </row>
    <row r="18">
      <c r="A18" s="30" t="inlineStr">
        <is>
          <t>%3</t>
        </is>
      </c>
      <c r="B18" s="30" t="n">
        <v>4</v>
      </c>
      <c r="C18" s="34" t="n">
        <v>31960</v>
      </c>
    </row>
    <row r="19">
      <c r="A19" s="30" t="inlineStr">
        <is>
          <t>%4</t>
        </is>
      </c>
      <c r="B19" s="30" t="n">
        <v>4</v>
      </c>
      <c r="C19" s="34" t="n">
        <v>31960</v>
      </c>
    </row>
    <row r="20">
      <c r="A20" s="30" t="inlineStr">
        <is>
          <t>%5</t>
        </is>
      </c>
      <c r="B20" s="30" t="n">
        <v>4</v>
      </c>
      <c r="C20" s="34" t="n">
        <v>31960</v>
      </c>
    </row>
    <row r="21">
      <c r="A21" s="30" t="inlineStr">
        <is>
          <t>%6</t>
        </is>
      </c>
      <c r="B21" s="30" t="n">
        <v>4</v>
      </c>
      <c r="C21" s="34" t="n">
        <v>31960</v>
      </c>
    </row>
    <row r="22">
      <c r="A22" s="30" t="inlineStr">
        <is>
          <t>%8</t>
        </is>
      </c>
      <c r="B22" s="30" t="n">
        <v>4</v>
      </c>
      <c r="C22" s="34" t="n">
        <v>31960</v>
      </c>
    </row>
    <row r="23">
      <c r="A23" s="17" t="inlineStr">
        <is>
          <t>Senaryo</t>
        </is>
      </c>
      <c r="B23" s="17" t="inlineStr">
        <is>
          <t>Varsayım</t>
        </is>
      </c>
      <c r="C23" s="17" t="inlineStr">
        <is>
          <t>12. ay MRR</t>
        </is>
      </c>
      <c r="D23" s="17" t="inlineStr">
        <is>
          <t>Yorum</t>
        </is>
      </c>
    </row>
    <row r="24">
      <c r="A24" s="19" t="inlineStr">
        <is>
          <t>Kötü</t>
        </is>
      </c>
      <c r="B24" s="19" t="inlineStr">
        <is>
          <t>3 klinik, 5.990 ₺</t>
        </is>
      </c>
      <c r="C24" s="19" t="n">
        <v>215640</v>
      </c>
      <c r="D24" s="19" t="inlineStr">
        <is>
          <t>Satış yavaş</t>
        </is>
      </c>
    </row>
    <row r="25">
      <c r="A25" s="18" t="inlineStr">
        <is>
          <t>Gerçekçi</t>
        </is>
      </c>
      <c r="B25" s="18" t="inlineStr">
        <is>
          <t>Finans modeli</t>
        </is>
      </c>
      <c r="C25" s="18">
        <f>Finans!E28</f>
        <v/>
      </c>
      <c r="D25" s="18" t="inlineStr">
        <is>
          <t>Rampaya bağlı</t>
        </is>
      </c>
    </row>
    <row r="26">
      <c r="A26" s="19" t="inlineStr">
        <is>
          <t>İyi</t>
        </is>
      </c>
      <c r="B26" s="19" t="inlineStr">
        <is>
          <t>12 klinik, 7.990 ₺</t>
        </is>
      </c>
      <c r="C26" s="19" t="n">
        <v>1150560</v>
      </c>
      <c r="D26" s="19" t="inlineStr">
        <is>
          <t>Referans etkisi güçlü</t>
        </is>
      </c>
    </row>
    <row r="27">
      <c r="A27" s="18" t="inlineStr">
        <is>
          <t>Agresif</t>
        </is>
      </c>
      <c r="B27" s="18" t="inlineStr">
        <is>
          <t>20 klinik, 8.490 ₺</t>
        </is>
      </c>
      <c r="C27" s="18" t="n">
        <v>2037600</v>
      </c>
      <c r="D27" s="18" t="inlineStr">
        <is>
          <t>2 satışçı gerekir</t>
        </is>
      </c>
    </row>
  </sheetData>
  <mergeCells count="3">
    <mergeCell ref="A14:F14"/>
    <mergeCell ref="A2:H2"/>
    <mergeCell ref="A1:H1"/>
  </mergeCells>
  <conditionalFormatting sqref="B5:I12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28" customWidth="1" min="5" max="5"/>
  </cols>
  <sheetData>
    <row r="1">
      <c r="A1" s="1" t="inlineStr">
        <is>
          <t>API MALİYET HESAPLAYICI</t>
        </is>
      </c>
    </row>
    <row r="2">
      <c r="A2" s="2" t="inlineStr">
        <is>
          <t>Klinik büyüklüğüne göre aylık değişken maliyet</t>
        </is>
      </c>
    </row>
    <row r="4">
      <c r="A4" s="17" t="inlineStr">
        <is>
          <t>Profil</t>
        </is>
      </c>
      <c r="B4" s="17" t="inlineStr">
        <is>
          <t>WA konuşma/ay</t>
        </is>
      </c>
      <c r="C4" s="17" t="inlineStr">
        <is>
          <t>OpenAI token payı (₺)</t>
        </is>
      </c>
      <c r="D4" s="17" t="inlineStr">
        <is>
          <t>Diğer API (₺)</t>
        </is>
      </c>
      <c r="E4" s="17" t="inlineStr">
        <is>
          <t>Toplam (₺/ay)</t>
        </is>
      </c>
    </row>
    <row r="5">
      <c r="A5" s="18" t="inlineStr">
        <is>
          <t>Küçük (1 hekim)</t>
        </is>
      </c>
      <c r="B5" s="18" t="n">
        <v>200</v>
      </c>
      <c r="C5" s="18" t="n">
        <v>150</v>
      </c>
      <c r="D5" s="18" t="n">
        <v>50</v>
      </c>
      <c r="E5" s="18" t="n">
        <v>400</v>
      </c>
    </row>
    <row r="6">
      <c r="A6" s="19" t="inlineStr">
        <is>
          <t>Orta (3 hekim) ★</t>
        </is>
      </c>
      <c r="B6" s="19" t="n">
        <v>800</v>
      </c>
      <c r="C6" s="19" t="n">
        <v>500</v>
      </c>
      <c r="D6" s="19" t="n">
        <v>200</v>
      </c>
      <c r="E6" s="19" t="n">
        <v>1200</v>
      </c>
    </row>
    <row r="7">
      <c r="A7" s="18" t="inlineStr">
        <is>
          <t>Büyük (6+ hekim)</t>
        </is>
      </c>
      <c r="B7" s="18" t="n">
        <v>2000</v>
      </c>
      <c r="C7" s="18" t="n">
        <v>1200</v>
      </c>
      <c r="D7" s="18" t="n">
        <v>500</v>
      </c>
      <c r="E7" s="18" t="n">
        <v>2800</v>
      </c>
    </row>
    <row r="8">
      <c r="A8" s="19" t="inlineStr">
        <is>
          <t>Zincir (3 şube)</t>
        </is>
      </c>
      <c r="B8" s="19" t="n">
        <v>5000</v>
      </c>
      <c r="C8" s="19" t="n">
        <v>3000</v>
      </c>
      <c r="D8" s="19" t="n">
        <v>1200</v>
      </c>
      <c r="E8" s="19" t="n">
        <v>6500</v>
      </c>
    </row>
    <row r="11">
      <c r="A11" s="17" t="inlineStr">
        <is>
          <t>API</t>
        </is>
      </c>
      <c r="B11" s="17" t="inlineStr">
        <is>
          <t>Birim fiyat</t>
        </is>
      </c>
      <c r="C11" s="17" t="inlineStr">
        <is>
          <t>Tahmini kullanım</t>
        </is>
      </c>
      <c r="D11" s="17" t="inlineStr">
        <is>
          <t>Aylık (₺)</t>
        </is>
      </c>
      <c r="E11" s="17" t="inlineStr">
        <is>
          <t>Not</t>
        </is>
      </c>
    </row>
    <row r="12">
      <c r="A12" s="19" t="inlineStr">
        <is>
          <t>OpenAI gpt-4o-mini</t>
        </is>
      </c>
      <c r="B12" s="19" t="inlineStr">
        <is>
          <t>~$0,15/1M token</t>
        </is>
      </c>
      <c r="C12" s="19" t="inlineStr">
        <is>
          <t>5M token/klinik</t>
        </is>
      </c>
      <c r="D12" s="19" t="n">
        <v>285</v>
      </c>
      <c r="E12" s="19" t="inlineStr">
        <is>
          <t>USD/TRY=38</t>
        </is>
      </c>
    </row>
    <row r="13">
      <c r="A13" s="18" t="inlineStr">
        <is>
          <t>WhatsApp Business (Meta)</t>
        </is>
      </c>
      <c r="B13" s="18" t="inlineStr">
        <is>
          <t>$0,05-0,15/konuşma</t>
        </is>
      </c>
      <c r="C13" s="18" t="inlineStr">
        <is>
          <t>500-2000</t>
        </is>
      </c>
      <c r="D13" s="18" t="n">
        <v>1900</v>
      </c>
      <c r="E13" s="18" t="inlineStr">
        <is>
          <t>Pazarlama vs hizmet</t>
        </is>
      </c>
    </row>
    <row r="14">
      <c r="A14" s="19" t="inlineStr">
        <is>
          <t>Vercel Pro (paylaşımlı)</t>
        </is>
      </c>
      <c r="B14" s="19" t="inlineStr">
        <is>
          <t>$20/ay</t>
        </is>
      </c>
      <c r="C14" s="19" t="inlineStr">
        <is>
          <t>Tüm platform</t>
        </is>
      </c>
      <c r="D14" s="19" t="n">
        <v>760</v>
      </c>
      <c r="E14" s="19" t="inlineStr">
        <is>
          <t>Sabit pay</t>
        </is>
      </c>
    </row>
    <row r="15">
      <c r="A15" s="18" t="inlineStr">
        <is>
          <t>VPS (paylaşımlı)</t>
        </is>
      </c>
      <c r="B15" s="18" t="inlineStr">
        <is>
          <t>170 ₺</t>
        </is>
      </c>
      <c r="C15" s="18" t="inlineStr">
        <is>
          <t>Tüm platform</t>
        </is>
      </c>
      <c r="D15" s="18" t="n">
        <v>170</v>
      </c>
      <c r="E15" s="18" t="inlineStr">
        <is>
          <t>10 klinikte ~17 ₺/klinik</t>
        </is>
      </c>
    </row>
    <row r="16">
      <c r="A16" s="19" t="inlineStr">
        <is>
          <t>İYS API</t>
        </is>
      </c>
      <c r="B16" s="19" t="inlineStr">
        <is>
          <t>Sabit + işlem</t>
        </is>
      </c>
      <c r="C16" s="19" t="inlineStr">
        <is>
          <t>Tüm platform</t>
        </is>
      </c>
      <c r="D16" s="19" t="n">
        <v>500</v>
      </c>
      <c r="E16" s="19" t="inlineStr">
        <is>
          <t>Ticari mesaj</t>
        </is>
      </c>
    </row>
    <row r="17">
      <c r="A17" s="18" t="inlineStr">
        <is>
          <t>E-posta bildirim</t>
        </is>
      </c>
      <c r="B17" s="18" t="inlineStr">
        <is>
          <t>Ücretsiz katman</t>
        </is>
      </c>
      <c r="C17" s="18" t="inlineStr">
        <is>
          <t>1000/ay</t>
        </is>
      </c>
      <c r="D17" s="18" t="n">
        <v>0</v>
      </c>
      <c r="E17" s="18" t="inlineStr">
        <is>
          <t>Resend</t>
        </is>
      </c>
    </row>
    <row r="18">
      <c r="A18" s="19" t="inlineStr">
        <is>
          <t>Google Business API</t>
        </is>
      </c>
      <c r="B18" s="19" t="inlineStr">
        <is>
          <t>Ücretsiz okuma</t>
        </is>
      </c>
      <c r="C18" s="19" t="inlineStr">
        <is>
          <t>—</t>
        </is>
      </c>
      <c r="D18" s="19" t="n">
        <v>0</v>
      </c>
      <c r="E18" s="19" t="inlineStr">
        <is>
          <t>Yayınlama ayrı</t>
        </is>
      </c>
    </row>
    <row r="19">
      <c r="A19" s="18" t="inlineStr">
        <is>
          <t>Supabase (self-host)</t>
        </is>
      </c>
      <c r="B19" s="18" t="inlineStr">
        <is>
          <t>VPS içi</t>
        </is>
      </c>
      <c r="C19" s="18" t="inlineStr">
        <is>
          <t>—</t>
        </is>
      </c>
      <c r="D19" s="18" t="n">
        <v>0</v>
      </c>
      <c r="E19" s="18" t="inlineStr">
        <is>
          <t>TR sunucu</t>
        </is>
      </c>
    </row>
    <row r="22">
      <c r="A22" s="44" t="inlineStr">
        <is>
          <t>Marj kontrolü: Profesyonel paket 7.990 ₺ — orta klinik API ~1.200 ₺ → brüt marj ~%85 (destek hariç)</t>
        </is>
      </c>
    </row>
  </sheetData>
  <mergeCells count="3">
    <mergeCell ref="A22:E22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AYLIK MALİYET DAĞILIMI (satışa hazır senaryo)</t>
        </is>
      </c>
    </row>
    <row r="4">
      <c r="A4" s="17" t="inlineStr">
        <is>
          <t>Kalem</t>
        </is>
      </c>
      <c r="B4" s="17" t="inlineStr">
        <is>
          <t>₺/ay</t>
        </is>
      </c>
    </row>
    <row r="5">
      <c r="A5" s="18" t="inlineStr">
        <is>
          <t>VPS + altyapı</t>
        </is>
      </c>
      <c r="B5" s="18" t="n">
        <v>620</v>
      </c>
    </row>
    <row r="6">
      <c r="A6" s="19" t="inlineStr">
        <is>
          <t>Vercel</t>
        </is>
      </c>
      <c r="B6" s="19" t="n">
        <v>760</v>
      </c>
    </row>
    <row r="7">
      <c r="A7" s="18" t="inlineStr">
        <is>
          <t>OpenAI</t>
        </is>
      </c>
      <c r="B7" s="18" t="n">
        <v>1500</v>
      </c>
    </row>
    <row r="8">
      <c r="A8" s="19" t="inlineStr">
        <is>
          <t>WhatsApp Meta</t>
        </is>
      </c>
      <c r="B8" s="19" t="n">
        <v>2000</v>
      </c>
    </row>
    <row r="9">
      <c r="A9" s="18" t="inlineStr">
        <is>
          <t>Hukuk/KVKK</t>
        </is>
      </c>
      <c r="B9" s="18" t="n">
        <v>2500</v>
      </c>
    </row>
    <row r="10">
      <c r="A10" s="19" t="inlineStr">
        <is>
          <t>İYS</t>
        </is>
      </c>
      <c r="B10" s="19" t="n">
        <v>500</v>
      </c>
    </row>
    <row r="11">
      <c r="A11" s="18" t="inlineStr">
        <is>
          <t>Araçlar</t>
        </is>
      </c>
      <c r="B11" s="18" t="n">
        <v>800</v>
      </c>
    </row>
    <row r="12">
      <c r="A12" s="19" t="inlineStr">
        <is>
          <t>Freelance dev</t>
        </is>
      </c>
      <c r="B12" s="19" t="n">
        <v>45000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PAKETLER &amp; ÖZELLİK MATRİSİ</t>
        </is>
      </c>
    </row>
    <row r="4">
      <c r="A4" s="17" t="inlineStr">
        <is>
          <t>Özellik</t>
        </is>
      </c>
      <c r="B4" s="17" t="inlineStr">
        <is>
          <t>Başlangıç
4.990₺</t>
        </is>
      </c>
      <c r="C4" s="17" t="inlineStr">
        <is>
          <t>Profesyonel ★
7.990₺</t>
        </is>
      </c>
      <c r="D4" s="17" t="inlineStr">
        <is>
          <t>Kurumsal
14.990₺</t>
        </is>
      </c>
      <c r="E4" s="17" t="inlineStr">
        <is>
          <t>Enterprise</t>
        </is>
      </c>
    </row>
    <row r="5">
      <c r="A5" s="30" t="inlineStr">
        <is>
          <t>WhatsApp Inbox</t>
        </is>
      </c>
      <c r="B5" s="45" t="inlineStr">
        <is>
          <t>✓</t>
        </is>
      </c>
      <c r="C5" s="45" t="inlineStr">
        <is>
          <t>✓</t>
        </is>
      </c>
      <c r="D5" s="45" t="inlineStr">
        <is>
          <t>✓</t>
        </is>
      </c>
      <c r="E5" s="45" t="inlineStr">
        <is>
          <t>✓</t>
        </is>
      </c>
    </row>
    <row r="6">
      <c r="A6" s="30" t="inlineStr">
        <is>
          <t>Web chatbot</t>
        </is>
      </c>
      <c r="B6" s="45" t="inlineStr">
        <is>
          <t>✓</t>
        </is>
      </c>
      <c r="C6" s="45" t="inlineStr">
        <is>
          <t>✓</t>
        </is>
      </c>
      <c r="D6" s="45" t="inlineStr">
        <is>
          <t>✓</t>
        </is>
      </c>
      <c r="E6" s="45" t="inlineStr">
        <is>
          <t>✓</t>
        </is>
      </c>
    </row>
    <row r="7">
      <c r="A7" s="30" t="inlineStr">
        <is>
          <t>AI taslak yanıt</t>
        </is>
      </c>
      <c r="B7" s="45" t="inlineStr">
        <is>
          <t>✓</t>
        </is>
      </c>
      <c r="C7" s="45" t="inlineStr">
        <is>
          <t>✓</t>
        </is>
      </c>
      <c r="D7" s="45" t="inlineStr">
        <is>
          <t>✓</t>
        </is>
      </c>
      <c r="E7" s="45" t="inlineStr">
        <is>
          <t>✓</t>
        </is>
      </c>
    </row>
    <row r="8">
      <c r="A8" s="30" t="inlineStr">
        <is>
          <t>NPS / Feedback loop</t>
        </is>
      </c>
      <c r="B8" s="46" t="inlineStr">
        <is>
          <t>—</t>
        </is>
      </c>
      <c r="C8" s="45" t="inlineStr">
        <is>
          <t>✓</t>
        </is>
      </c>
      <c r="D8" s="45" t="inlineStr">
        <is>
          <t>✓</t>
        </is>
      </c>
      <c r="E8" s="45" t="inlineStr">
        <is>
          <t>✓</t>
        </is>
      </c>
    </row>
    <row r="9">
      <c r="A9" s="30" t="inlineStr">
        <is>
          <t>Google yorum AI</t>
        </is>
      </c>
      <c r="B9" s="46" t="inlineStr">
        <is>
          <t>—</t>
        </is>
      </c>
      <c r="C9" s="45" t="inlineStr">
        <is>
          <t>✓</t>
        </is>
      </c>
      <c r="D9" s="45" t="inlineStr">
        <is>
          <t>✓</t>
        </is>
      </c>
      <c r="E9" s="45" t="inlineStr">
        <is>
          <t>✓</t>
        </is>
      </c>
    </row>
    <row r="10">
      <c r="A10" s="30" t="inlineStr">
        <is>
          <t>İtibar (Sentinel)</t>
        </is>
      </c>
      <c r="B10" s="46" t="inlineStr">
        <is>
          <t>—</t>
        </is>
      </c>
      <c r="C10" s="45" t="inlineStr">
        <is>
          <t>✓</t>
        </is>
      </c>
      <c r="D10" s="45" t="inlineStr">
        <is>
          <t>✓</t>
        </is>
      </c>
      <c r="E10" s="45" t="inlineStr">
        <is>
          <t>✓</t>
        </is>
      </c>
    </row>
    <row r="11">
      <c r="A11" s="30" t="inlineStr">
        <is>
          <t>Recall kampanya</t>
        </is>
      </c>
      <c r="B11" s="46" t="inlineStr">
        <is>
          <t>—</t>
        </is>
      </c>
      <c r="C11" s="45" t="inlineStr">
        <is>
          <t>✓</t>
        </is>
      </c>
      <c r="D11" s="45" t="inlineStr">
        <is>
          <t>✓</t>
        </is>
      </c>
      <c r="E11" s="45" t="inlineStr">
        <is>
          <t>✓</t>
        </is>
      </c>
    </row>
    <row r="12">
      <c r="A12" s="30" t="inlineStr">
        <is>
          <t>eNPS (çalışan)</t>
        </is>
      </c>
      <c r="B12" s="46" t="inlineStr">
        <is>
          <t>—</t>
        </is>
      </c>
      <c r="C12" s="46" t="inlineStr">
        <is>
          <t>—</t>
        </is>
      </c>
      <c r="D12" s="45" t="inlineStr">
        <is>
          <t>✓</t>
        </is>
      </c>
      <c r="E12" s="45" t="inlineStr">
        <is>
          <t>✓</t>
        </is>
      </c>
    </row>
    <row r="13">
      <c r="A13" s="30" t="inlineStr">
        <is>
          <t>HBYS entegrasyon</t>
        </is>
      </c>
      <c r="B13" s="46" t="inlineStr">
        <is>
          <t>—</t>
        </is>
      </c>
      <c r="C13" s="46" t="inlineStr">
        <is>
          <t>—</t>
        </is>
      </c>
      <c r="D13" s="45" t="inlineStr">
        <is>
          <t>✓</t>
        </is>
      </c>
      <c r="E13" s="45" t="inlineStr">
        <is>
          <t>✓</t>
        </is>
      </c>
    </row>
    <row r="14">
      <c r="A14" s="30" t="inlineStr">
        <is>
          <t>Çoklu şube</t>
        </is>
      </c>
      <c r="B14" s="46" t="inlineStr">
        <is>
          <t>—</t>
        </is>
      </c>
      <c r="C14" s="46" t="inlineStr">
        <is>
          <t>—</t>
        </is>
      </c>
      <c r="D14" s="45" t="inlineStr">
        <is>
          <t>✓</t>
        </is>
      </c>
      <c r="E14" s="45" t="inlineStr">
        <is>
          <t>✓</t>
        </is>
      </c>
    </row>
    <row r="15">
      <c r="A15" s="30" t="inlineStr">
        <is>
          <t>SLA + öncelikli destek</t>
        </is>
      </c>
      <c r="B15" s="46" t="inlineStr">
        <is>
          <t>—</t>
        </is>
      </c>
      <c r="C15" s="46" t="inlineStr">
        <is>
          <t>—</t>
        </is>
      </c>
      <c r="D15" s="45" t="inlineStr">
        <is>
          <t>✓</t>
        </is>
      </c>
      <c r="E15" s="45" t="inlineStr">
        <is>
          <t>✓</t>
        </is>
      </c>
    </row>
    <row r="16">
      <c r="A16" s="30" t="inlineStr">
        <is>
          <t>White-label</t>
        </is>
      </c>
      <c r="B16" s="46" t="inlineStr">
        <is>
          <t>—</t>
        </is>
      </c>
      <c r="C16" s="46" t="inlineStr">
        <is>
          <t>—</t>
        </is>
      </c>
      <c r="D16" s="46" t="inlineStr">
        <is>
          <t>—</t>
        </is>
      </c>
      <c r="E16" s="45" t="inlineStr">
        <is>
          <t>✓</t>
        </is>
      </c>
    </row>
    <row r="19">
      <c r="A19" s="17" t="inlineStr">
        <is>
          <t>Paket</t>
        </is>
      </c>
      <c r="B19" s="17" t="inlineStr">
        <is>
          <t>Aylık</t>
        </is>
      </c>
      <c r="C19" s="17" t="inlineStr">
        <is>
          <t>Kurulum</t>
        </is>
      </c>
      <c r="D19" s="17" t="inlineStr">
        <is>
          <t>Yıllık (indirimli)</t>
        </is>
      </c>
      <c r="E19" s="17" t="inlineStr">
        <is>
          <t>Hedef klinik</t>
        </is>
      </c>
    </row>
    <row r="20">
      <c r="A20" s="19" t="inlineStr">
        <is>
          <t>Başlangıç</t>
        </is>
      </c>
      <c r="B20" s="19" t="inlineStr">
        <is>
          <t>4.990 ₺</t>
        </is>
      </c>
      <c r="C20" s="19" t="inlineStr">
        <is>
          <t>9.900 ₺</t>
        </is>
      </c>
      <c r="D20" s="19" t="inlineStr">
        <is>
          <t>50.900 ₺</t>
        </is>
      </c>
      <c r="E20" s="19" t="inlineStr">
        <is>
          <t>1 hekim</t>
        </is>
      </c>
    </row>
    <row r="21">
      <c r="A21" s="18" t="inlineStr">
        <is>
          <t>Profesyonel ★</t>
        </is>
      </c>
      <c r="B21" s="18" t="inlineStr">
        <is>
          <t>7.990 ₺</t>
        </is>
      </c>
      <c r="C21" s="18" t="inlineStr">
        <is>
          <t>14.900 ₺</t>
        </is>
      </c>
      <c r="D21" s="18" t="inlineStr">
        <is>
          <t>81.500 ₺</t>
        </is>
      </c>
      <c r="E21" s="18" t="inlineStr">
        <is>
          <t>Orta klinik</t>
        </is>
      </c>
    </row>
    <row r="22">
      <c r="A22" s="19" t="inlineStr">
        <is>
          <t>Kurumsal</t>
        </is>
      </c>
      <c r="B22" s="19" t="inlineStr">
        <is>
          <t>14.990 ₺</t>
        </is>
      </c>
      <c r="C22" s="19" t="inlineStr">
        <is>
          <t>29.900 ₺</t>
        </is>
      </c>
      <c r="D22" s="19" t="inlineStr">
        <is>
          <t>152.900 ₺</t>
        </is>
      </c>
      <c r="E22" s="19" t="inlineStr">
        <is>
          <t>Zincir</t>
        </is>
      </c>
    </row>
    <row r="23">
      <c r="A23" s="18" t="inlineStr">
        <is>
          <t>Enterprise</t>
        </is>
      </c>
      <c r="B23" s="18" t="inlineStr">
        <is>
          <t>Teklif</t>
        </is>
      </c>
      <c r="C23" s="18" t="inlineStr">
        <is>
          <t>Teklif</t>
        </is>
      </c>
      <c r="D23" s="18" t="inlineStr">
        <is>
          <t>Özel</t>
        </is>
      </c>
      <c r="E23" s="18" t="inlineStr">
        <is>
          <t>Hastane</t>
        </is>
      </c>
    </row>
    <row r="25" ht="48" customHeight="1">
      <c r="A25" s="47" t="inlineStr">
        <is>
          <t>ROI: Orta diş kliniği aylık 80-150 WhatsApp mesajı alır. Cevapsız %30 = 24-45 kayıp. 1 implant randevusu (~20.000 ₺) Nefalix'i 2,5 yıl öder. Google yıldız +0,3 = %5-12 daha fazla arama görünürlüğü.</t>
        </is>
      </c>
    </row>
  </sheetData>
  <mergeCells count="2">
    <mergeCell ref="A25:E25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28" customWidth="1" min="3" max="3"/>
    <col width="22" customWidth="1" min="4" max="4"/>
    <col width="1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</cols>
  <sheetData>
    <row r="1">
      <c r="A1" s="1" t="inlineStr">
        <is>
          <t>ÜRÜN &amp; İŞ YOL HARİTASI</t>
        </is>
      </c>
    </row>
    <row r="2">
      <c r="A2" s="2" t="inlineStr">
        <is>
          <t>2026 H2 — 2027 | Gantt: ■ = aktif çalışma</t>
        </is>
      </c>
    </row>
    <row r="4">
      <c r="A4" s="17" t="inlineStr">
        <is>
          <t>#</t>
        </is>
      </c>
      <c r="B4" s="17" t="inlineStr">
        <is>
          <t>Faz</t>
        </is>
      </c>
      <c r="C4" s="17" t="inlineStr">
        <is>
          <t>Klinik kazanır</t>
        </is>
      </c>
      <c r="D4" s="17" t="inlineStr">
        <is>
          <t>Biz yaparız</t>
        </is>
      </c>
      <c r="E4" s="17" t="inlineStr">
        <is>
          <t>Yatırım</t>
        </is>
      </c>
      <c r="F4" s="17" t="inlineStr">
        <is>
          <t>Haz</t>
        </is>
      </c>
      <c r="G4" s="17" t="inlineStr">
        <is>
          <t>Tem</t>
        </is>
      </c>
      <c r="H4" s="17" t="inlineStr">
        <is>
          <t>Ağu</t>
        </is>
      </c>
      <c r="I4" s="17" t="inlineStr">
        <is>
          <t>Eyl</t>
        </is>
      </c>
      <c r="J4" s="17" t="inlineStr">
        <is>
          <t>Eki</t>
        </is>
      </c>
      <c r="K4" s="17" t="inlineStr">
        <is>
          <t>Kas</t>
        </is>
      </c>
      <c r="L4" s="17" t="inlineStr">
        <is>
          <t>Ara</t>
        </is>
      </c>
      <c r="M4" s="17" t="inlineStr">
        <is>
          <t>Oca</t>
        </is>
      </c>
      <c r="N4" s="17" t="inlineStr">
        <is>
          <t>Şub</t>
        </is>
      </c>
      <c r="O4" s="17" t="inlineStr">
        <is>
          <t>Mar</t>
        </is>
      </c>
      <c r="P4" s="17" t="inlineStr">
        <is>
          <t>Nis</t>
        </is>
      </c>
      <c r="Q4" s="17" t="inlineStr">
        <is>
          <t>May</t>
        </is>
      </c>
    </row>
    <row r="5">
      <c r="A5" s="30" t="n">
        <v>0</v>
      </c>
      <c r="B5" s="30" t="inlineStr">
        <is>
          <t>F0 Güven</t>
        </is>
      </c>
      <c r="C5" s="30" t="inlineStr">
        <is>
          <t>Panel çalışır</t>
        </is>
      </c>
      <c r="D5" s="30" t="inlineStr">
        <is>
          <t>VPS, otomasyon, sağlık</t>
        </is>
      </c>
      <c r="E5" s="30" t="inlineStr">
        <is>
          <t>Düşük</t>
        </is>
      </c>
      <c r="F5" s="48" t="inlineStr">
        <is>
          <t>■</t>
        </is>
      </c>
      <c r="G5" s="48" t="inlineStr">
        <is>
          <t>■</t>
        </is>
      </c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</row>
    <row r="6">
      <c r="A6" s="30" t="n">
        <v>1</v>
      </c>
      <c r="B6" s="30" t="inlineStr">
        <is>
          <t>F1 Günlük iş</t>
        </is>
      </c>
      <c r="C6" s="30" t="inlineStr">
        <is>
          <t>WA yanıt, Google onay</t>
        </is>
      </c>
      <c r="D6" s="30" t="inlineStr">
        <is>
          <t>Inbox UI, bildirim</t>
        </is>
      </c>
      <c r="E6" s="30" t="inlineStr">
        <is>
          <t>Orta</t>
        </is>
      </c>
      <c r="F6" s="30" t="n"/>
      <c r="G6" s="48" t="inlineStr">
        <is>
          <t>■</t>
        </is>
      </c>
      <c r="H6" s="48" t="inlineStr">
        <is>
          <t>■</t>
        </is>
      </c>
      <c r="I6" s="48" t="inlineStr">
        <is>
          <t>■</t>
        </is>
      </c>
      <c r="J6" s="30" t="n"/>
      <c r="K6" s="30" t="n"/>
      <c r="L6" s="30" t="n"/>
      <c r="M6" s="30" t="n"/>
      <c r="N6" s="30" t="n"/>
      <c r="O6" s="30" t="n"/>
      <c r="P6" s="30" t="n"/>
      <c r="Q6" s="30" t="n"/>
    </row>
    <row r="7">
      <c r="A7" s="30" t="n">
        <v>2</v>
      </c>
      <c r="B7" s="30" t="inlineStr">
        <is>
          <t>F2 Profesyonel</t>
        </is>
      </c>
      <c r="C7" s="30" t="inlineStr">
        <is>
          <t>Grafik, mobil, PDF</t>
        </is>
      </c>
      <c r="D7" s="30" t="inlineStr">
        <is>
          <t>UI redesign</t>
        </is>
      </c>
      <c r="E7" s="30" t="inlineStr">
        <is>
          <t>Orta</t>
        </is>
      </c>
      <c r="F7" s="30" t="n"/>
      <c r="G7" s="30" t="n"/>
      <c r="H7" s="48" t="inlineStr">
        <is>
          <t>■</t>
        </is>
      </c>
      <c r="I7" s="48" t="inlineStr">
        <is>
          <t>■</t>
        </is>
      </c>
      <c r="J7" s="48" t="inlineStr">
        <is>
          <t>■</t>
        </is>
      </c>
      <c r="K7" s="30" t="n"/>
      <c r="L7" s="30" t="n"/>
      <c r="M7" s="30" t="n"/>
      <c r="N7" s="30" t="n"/>
      <c r="O7" s="30" t="n"/>
      <c r="P7" s="30" t="n"/>
      <c r="Q7" s="30" t="n"/>
    </row>
    <row r="8">
      <c r="A8" s="30" t="n">
        <v>3</v>
      </c>
      <c r="B8" s="30" t="inlineStr">
        <is>
          <t>F3 Satış</t>
        </is>
      </c>
      <c r="C8" s="30" t="inlineStr">
        <is>
          <t>5 ödeyen klinik</t>
        </is>
      </c>
      <c r="D8" s="30" t="inlineStr">
        <is>
          <t>Çoklu klinik, İYS</t>
        </is>
      </c>
      <c r="E8" s="30" t="inlineStr">
        <is>
          <t>Yüksek</t>
        </is>
      </c>
      <c r="F8" s="30" t="n"/>
      <c r="G8" s="30" t="n"/>
      <c r="H8" s="30" t="n"/>
      <c r="I8" s="48" t="inlineStr">
        <is>
          <t>■</t>
        </is>
      </c>
      <c r="J8" s="48" t="inlineStr">
        <is>
          <t>■</t>
        </is>
      </c>
      <c r="K8" s="48" t="inlineStr">
        <is>
          <t>■</t>
        </is>
      </c>
      <c r="L8" s="48" t="inlineStr">
        <is>
          <t>■</t>
        </is>
      </c>
      <c r="M8" s="30" t="n"/>
      <c r="N8" s="30" t="n"/>
      <c r="O8" s="30" t="n"/>
      <c r="P8" s="30" t="n"/>
      <c r="Q8" s="30" t="n"/>
    </row>
    <row r="9">
      <c r="A9" s="30" t="n">
        <v>4</v>
      </c>
      <c r="B9" s="30" t="inlineStr">
        <is>
          <t>F4 Ölçek</t>
        </is>
      </c>
      <c r="C9" s="30" t="inlineStr">
        <is>
          <t>HBYS, resmi WA</t>
        </is>
      </c>
      <c r="D9" s="30" t="inlineStr">
        <is>
          <t>n8n→API geçiş</t>
        </is>
      </c>
      <c r="E9" s="30" t="inlineStr">
        <is>
          <t>Yüksek</t>
        </is>
      </c>
      <c r="F9" s="30" t="n"/>
      <c r="G9" s="30" t="n"/>
      <c r="H9" s="30" t="n"/>
      <c r="I9" s="30" t="n"/>
      <c r="J9" s="30" t="n"/>
      <c r="K9" s="30" t="n"/>
      <c r="L9" s="48" t="inlineStr">
        <is>
          <t>■</t>
        </is>
      </c>
      <c r="M9" s="48" t="inlineStr">
        <is>
          <t>■</t>
        </is>
      </c>
      <c r="N9" s="48" t="inlineStr">
        <is>
          <t>■</t>
        </is>
      </c>
      <c r="O9" s="48" t="inlineStr">
        <is>
          <t>■</t>
        </is>
      </c>
      <c r="P9" s="30" t="n"/>
      <c r="Q9" s="30" t="n"/>
    </row>
    <row r="10">
      <c r="A10" s="30" t="n">
        <v>5</v>
      </c>
      <c r="B10" s="30" t="inlineStr">
        <is>
          <t>F5 Platform</t>
        </is>
      </c>
      <c r="C10" s="30" t="inlineStr">
        <is>
          <t>10+ klinik</t>
        </is>
      </c>
      <c r="D10" s="30" t="inlineStr">
        <is>
          <t>SLA, yedek sunucu</t>
        </is>
      </c>
      <c r="E10" s="30" t="inlineStr">
        <is>
          <t>Orta</t>
        </is>
      </c>
      <c r="F10" s="30" t="n"/>
      <c r="G10" s="30" t="n"/>
      <c r="H10" s="30" t="n"/>
      <c r="I10" s="30" t="n"/>
      <c r="J10" s="30" t="n"/>
      <c r="K10" s="30" t="n"/>
      <c r="L10" s="30" t="n"/>
      <c r="M10" s="30" t="n"/>
      <c r="N10" s="48" t="inlineStr">
        <is>
          <t>■</t>
        </is>
      </c>
      <c r="O10" s="48" t="inlineStr">
        <is>
          <t>■</t>
        </is>
      </c>
      <c r="P10" s="48" t="inlineStr">
        <is>
          <t>■</t>
        </is>
      </c>
      <c r="Q10" s="48" t="inlineStr">
        <is>
          <t>■</t>
        </is>
      </c>
    </row>
    <row r="11">
      <c r="A11" s="30" t="n">
        <v>6</v>
      </c>
      <c r="B11" s="30" t="inlineStr">
        <is>
          <t>KVKK/İYS</t>
        </is>
      </c>
      <c r="C11" s="30" t="inlineStr">
        <is>
          <t>Yasal güvence</t>
        </is>
      </c>
      <c r="D11" s="30" t="inlineStr">
        <is>
          <t>Hukuk, envanter</t>
        </is>
      </c>
      <c r="E11" s="30" t="inlineStr">
        <is>
          <t>Düşük</t>
        </is>
      </c>
      <c r="F11" s="30" t="n"/>
      <c r="G11" s="48" t="inlineStr">
        <is>
          <t>■</t>
        </is>
      </c>
      <c r="H11" s="48" t="inlineStr">
        <is>
          <t>■</t>
        </is>
      </c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</row>
    <row r="12">
      <c r="A12" s="30" t="n">
        <v>7</v>
      </c>
      <c r="B12" s="30" t="inlineStr">
        <is>
          <t>Satış GTM</t>
        </is>
      </c>
      <c r="C12" s="30" t="inlineStr">
        <is>
          <t>Yeni müşteri</t>
        </is>
      </c>
      <c r="D12" s="30" t="inlineStr">
        <is>
          <t>Case study, demo</t>
        </is>
      </c>
      <c r="E12" s="30" t="inlineStr">
        <is>
          <t>Orta</t>
        </is>
      </c>
      <c r="F12" s="30" t="n"/>
      <c r="G12" s="30" t="n"/>
      <c r="H12" s="30" t="n"/>
      <c r="I12" s="48" t="inlineStr">
        <is>
          <t>■</t>
        </is>
      </c>
      <c r="J12" s="48" t="inlineStr">
        <is>
          <t>■</t>
        </is>
      </c>
      <c r="K12" s="48" t="inlineStr">
        <is>
          <t>■</t>
        </is>
      </c>
      <c r="L12" s="48" t="inlineStr">
        <is>
          <t>■</t>
        </is>
      </c>
      <c r="M12" s="48" t="inlineStr">
        <is>
          <t>■</t>
        </is>
      </c>
      <c r="N12" s="48" t="inlineStr">
        <is>
          <t>■</t>
        </is>
      </c>
      <c r="O12" s="48" t="inlineStr">
        <is>
          <t>■</t>
        </is>
      </c>
      <c r="P12" s="48" t="inlineStr">
        <is>
          <t>■</t>
        </is>
      </c>
      <c r="Q12" s="48" t="inlineStr">
        <is>
          <t>■</t>
        </is>
      </c>
    </row>
    <row r="15">
      <c r="A15" s="17" t="inlineStr">
        <is>
          <t>Faz</t>
        </is>
      </c>
      <c r="B15" s="17" t="inlineStr">
        <is>
          <t>Bitti sayılır eğer…</t>
        </is>
      </c>
    </row>
    <row r="16">
      <c r="A16" s="19" t="inlineStr">
        <is>
          <t>F0</t>
        </is>
      </c>
      <c r="B16" s="19" t="inlineStr">
        <is>
          <t>Medident yöneticisi haftada 5+ gün panele girer</t>
        </is>
      </c>
    </row>
    <row r="17">
      <c r="A17" s="18" t="inlineStr">
        <is>
          <t>F1</t>
        </is>
      </c>
      <c r="B17" s="18" t="inlineStr">
        <is>
          <t>Inbox yanıtlarının %80'i panelden gider</t>
        </is>
      </c>
    </row>
    <row r="18">
      <c r="A18" s="19" t="inlineStr">
        <is>
          <t>F2</t>
        </is>
      </c>
      <c r="B18" s="19" t="inlineStr">
        <is>
          <t>Mobil uyumlu; aylık PDF rapor tek tık</t>
        </is>
      </c>
    </row>
    <row r="19">
      <c r="A19" s="18" t="inlineStr">
        <is>
          <t>F3</t>
        </is>
      </c>
      <c r="B19" s="18" t="inlineStr">
        <is>
          <t>5 klinik aktif fatura kesiliyor</t>
        </is>
      </c>
    </row>
    <row r="20">
      <c r="A20" s="19" t="inlineStr">
        <is>
          <t>F4</t>
        </is>
      </c>
      <c r="B20" s="19" t="inlineStr">
        <is>
          <t>n8n olmadan inbox + NPS çalışıyor</t>
        </is>
      </c>
    </row>
    <row r="21">
      <c r="A21" s="18" t="inlineStr">
        <is>
          <t>F5</t>
        </is>
      </c>
      <c r="B21" s="18" t="inlineStr">
        <is>
          <t>Net gelir &gt; operasyon giderinin 3 katı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2" customWidth="1" min="4" max="4"/>
    <col width="38" customWidth="1" min="5" max="5"/>
  </cols>
  <sheetData>
    <row r="1">
      <c r="A1" s="1" t="inlineStr">
        <is>
          <t>KVKK / İYS / SAĞLIK UYUMLULUK CHECKLIST</t>
        </is>
      </c>
    </row>
    <row r="2">
      <c r="A2" s="2" t="inlineStr">
        <is>
          <t>Satış öncesi tamamlanması gerekenler</t>
        </is>
      </c>
    </row>
    <row r="4">
      <c r="A4" s="17" t="inlineStr">
        <is>
          <t>#</t>
        </is>
      </c>
      <c r="B4" s="17" t="inlineStr">
        <is>
          <t>Madde</t>
        </is>
      </c>
      <c r="C4" s="17" t="inlineStr">
        <is>
          <t>Öncelik</t>
        </is>
      </c>
      <c r="D4" s="17" t="inlineStr">
        <is>
          <t>Durum</t>
        </is>
      </c>
      <c r="E4" s="17" t="inlineStr">
        <is>
          <t>Not</t>
        </is>
      </c>
    </row>
    <row r="5">
      <c r="A5" s="18" t="n">
        <v>1</v>
      </c>
      <c r="B5" s="18" t="inlineStr">
        <is>
          <t>VERBİS kaydı veya güncelleme</t>
        </is>
      </c>
      <c r="C5" s="49" t="inlineStr">
        <is>
          <t>P0</t>
        </is>
      </c>
      <c r="D5" s="50" t="inlineStr">
        <is>
          <t>Yapılacak</t>
        </is>
      </c>
      <c r="E5" s="18" t="inlineStr">
        <is>
          <t>Veri sorumlusu olarak klinik + Nefalix iş ortaklığı netleştir</t>
        </is>
      </c>
    </row>
    <row r="6">
      <c r="A6" s="19" t="n">
        <v>2</v>
      </c>
      <c r="B6" s="19" t="inlineStr">
        <is>
          <t>Aydınlatma metni (hasta)</t>
        </is>
      </c>
      <c r="C6" s="49" t="inlineStr">
        <is>
          <t>P0</t>
        </is>
      </c>
      <c r="D6" s="50" t="inlineStr">
        <is>
          <t>Yapılacak</t>
        </is>
      </c>
      <c r="E6" s="19" t="inlineStr">
        <is>
          <t>Web + WhatsApp + form</t>
        </is>
      </c>
    </row>
    <row r="7">
      <c r="A7" s="18" t="n">
        <v>3</v>
      </c>
      <c r="B7" s="18" t="inlineStr">
        <is>
          <t>Açık rıza metni (ticari ileti)</t>
        </is>
      </c>
      <c r="C7" s="49" t="inlineStr">
        <is>
          <t>P0</t>
        </is>
      </c>
      <c r="D7" s="50" t="inlineStr">
        <is>
          <t>Yapılacak</t>
        </is>
      </c>
      <c r="E7" s="18" t="inlineStr">
        <is>
          <t>İYS öncesi şart</t>
        </is>
      </c>
    </row>
    <row r="8">
      <c r="A8" s="19" t="n">
        <v>4</v>
      </c>
      <c r="B8" s="19" t="inlineStr">
        <is>
          <t>Veri işleme envanteri</t>
        </is>
      </c>
      <c r="C8" s="49" t="inlineStr">
        <is>
          <t>P0</t>
        </is>
      </c>
      <c r="D8" s="50" t="inlineStr">
        <is>
          <t>Yapılacak</t>
        </is>
      </c>
      <c r="E8" s="19" t="inlineStr">
        <is>
          <t>Supabase tabloları listesi</t>
        </is>
      </c>
    </row>
    <row r="9">
      <c r="A9" s="18" t="n">
        <v>5</v>
      </c>
      <c r="B9" s="18" t="inlineStr">
        <is>
          <t>İYS kayıt (şirket)</t>
        </is>
      </c>
      <c r="C9" s="18" t="inlineStr">
        <is>
          <t>P1</t>
        </is>
      </c>
      <c r="D9" s="50" t="inlineStr">
        <is>
          <t>Yapılacak</t>
        </is>
      </c>
      <c r="E9" s="18" t="inlineStr">
        <is>
          <t>Ticari mesaj için</t>
        </is>
      </c>
    </row>
    <row r="10">
      <c r="A10" s="19" t="n">
        <v>6</v>
      </c>
      <c r="B10" s="19" t="inlineStr">
        <is>
          <t>Veri işleyen sözleşmesi (DPA)</t>
        </is>
      </c>
      <c r="C10" s="19" t="inlineStr">
        <is>
          <t>P1</t>
        </is>
      </c>
      <c r="D10" s="50" t="inlineStr">
        <is>
          <t>Yapılacak</t>
        </is>
      </c>
      <c r="E10" s="19" t="inlineStr">
        <is>
          <t>Klinik ↔ Nefalix</t>
        </is>
      </c>
    </row>
    <row r="11">
      <c r="A11" s="18" t="n">
        <v>7</v>
      </c>
      <c r="B11" s="18" t="inlineStr">
        <is>
          <t>Sunucu lokasyon belgesi (TR)</t>
        </is>
      </c>
      <c r="C11" s="49" t="inlineStr">
        <is>
          <t>P0</t>
        </is>
      </c>
      <c r="D11" s="51" t="inlineStr">
        <is>
          <t>Tamam</t>
        </is>
      </c>
      <c r="E11" s="18" t="inlineStr">
        <is>
          <t>Sunucumburada İstanbul</t>
        </is>
      </c>
    </row>
    <row r="12">
      <c r="A12" s="19" t="n">
        <v>8</v>
      </c>
      <c r="B12" s="19" t="inlineStr">
        <is>
          <t>OpenAI veri işleme (DPA)</t>
        </is>
      </c>
      <c r="C12" s="19" t="inlineStr">
        <is>
          <t>P1</t>
        </is>
      </c>
      <c r="D12" s="50" t="inlineStr">
        <is>
          <t>Yapılacak</t>
        </is>
      </c>
      <c r="E12" s="19" t="inlineStr">
        <is>
          <t>API — kişisel veri minimizasyonu</t>
        </is>
      </c>
    </row>
    <row r="13">
      <c r="A13" s="18" t="n">
        <v>9</v>
      </c>
      <c r="B13" s="18" t="inlineStr">
        <is>
          <t>Saklama süresi politikası</t>
        </is>
      </c>
      <c r="C13" s="18" t="inlineStr">
        <is>
          <t>P1</t>
        </is>
      </c>
      <c r="D13" s="50" t="inlineStr">
        <is>
          <t>Yapılacak</t>
        </is>
      </c>
      <c r="E13" s="18" t="inlineStr">
        <is>
          <t>Örn. 2 yıl sonra anonimleştir</t>
        </is>
      </c>
    </row>
    <row r="14">
      <c r="A14" s="19" t="n">
        <v>10</v>
      </c>
      <c r="B14" s="19" t="inlineStr">
        <is>
          <t>Veri ihlali müdahale planı</t>
        </is>
      </c>
      <c r="C14" s="19" t="inlineStr">
        <is>
          <t>P2</t>
        </is>
      </c>
      <c r="D14" s="50" t="inlineStr">
        <is>
          <t>Yapılacak</t>
        </is>
      </c>
      <c r="E14" s="19" t="inlineStr">
        <is>
          <t>72 saat KVKK bildirimi</t>
        </is>
      </c>
    </row>
    <row r="15">
      <c r="A15" s="18" t="n">
        <v>11</v>
      </c>
      <c r="B15" s="18" t="inlineStr">
        <is>
          <t>AI kullanım sınırı (tıbbi değil)</t>
        </is>
      </c>
      <c r="C15" s="49" t="inlineStr">
        <is>
          <t>P0</t>
        </is>
      </c>
      <c r="D15" s="51" t="inlineStr">
        <is>
          <t>Tamam</t>
        </is>
      </c>
      <c r="E15" s="18" t="inlineStr">
        <is>
          <t>Operasyonel/randevu odaklı</t>
        </is>
      </c>
    </row>
    <row r="16">
      <c r="A16" s="19" t="n">
        <v>12</v>
      </c>
      <c r="B16" s="19" t="inlineStr">
        <is>
          <t>WhatsApp ticari mesaj İYS kontrolü</t>
        </is>
      </c>
      <c r="C16" s="19" t="inlineStr">
        <is>
          <t>P1</t>
        </is>
      </c>
      <c r="D16" s="50" t="inlineStr">
        <is>
          <t>Yapılacak</t>
        </is>
      </c>
      <c r="E16" s="19" t="inlineStr">
        <is>
          <t>Workflow + API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</cols>
  <sheetData>
    <row r="1">
      <c r="A1" s="1" t="inlineStr">
        <is>
          <t>UZMAN GÖRÜŞMELERİ — SORU &amp; CEVAP</t>
        </is>
      </c>
    </row>
    <row r="2">
      <c r="A2" s="2" t="inlineStr">
        <is>
          <t>5 disiplin; yol haritası bu görüşmelerle revize edildi</t>
        </is>
      </c>
    </row>
    <row r="4">
      <c r="A4" s="17" t="inlineStr">
        <is>
          <t>Uzman</t>
        </is>
      </c>
      <c r="B4" s="17" t="inlineStr">
        <is>
          <t>Soru</t>
        </is>
      </c>
      <c r="C4" s="17" t="inlineStr">
        <is>
          <t>Cevap / Öneri</t>
        </is>
      </c>
    </row>
    <row r="5">
      <c r="A5" s="18" t="inlineStr">
        <is>
          <t>SaaS Mimarı</t>
        </is>
      </c>
      <c r="B5" s="18" t="inlineStr">
        <is>
          <t>n8n'i ne zaman bırakmalıyız?</t>
        </is>
      </c>
      <c r="C5" s="18" t="inlineStr">
        <is>
          <t>5 ödeyen klinikten sonra modül modül. Önce okuma/yazma API, sonra AI. n8n prototip olarak kalabilir.</t>
        </is>
      </c>
    </row>
    <row r="6">
      <c r="A6" s="19" t="inlineStr">
        <is>
          <t>SaaS Mimarı</t>
        </is>
      </c>
      <c r="B6" s="19" t="inlineStr">
        <is>
          <t>Tek VPS yeterli mi?</t>
        </is>
      </c>
      <c r="C6" s="19" t="inlineStr">
        <is>
          <t>8 kliniğe kadar evet. 10+ için DB ayrı sunucu veya yedekleme zorunlu.</t>
        </is>
      </c>
    </row>
    <row r="7">
      <c r="A7" s="18" t="inlineStr">
        <is>
          <t>KVKK Avukatı</t>
        </is>
      </c>
      <c r="B7" s="18" t="inlineStr">
        <is>
          <t>Hasta verisi yurt dışına çıkar mı?</t>
        </is>
      </c>
      <c r="C7" s="18" t="inlineStr">
        <is>
          <t>OpenAI'ye giden prompt'ta isim/telefon maskeleme. Vercel sadece oturum — hasta tablosu yok.</t>
        </is>
      </c>
    </row>
    <row r="8">
      <c r="A8" s="19" t="inlineStr">
        <is>
          <t>KVKK Avukatı</t>
        </is>
      </c>
      <c r="B8" s="19" t="inlineStr">
        <is>
          <t>Evolution WhatsApp yasal mı?</t>
        </is>
      </c>
      <c r="C8" s="19" t="inlineStr">
        <is>
          <t>Pilot tolere edilebilir; ticari ölçekte Meta resmi API + İYS şart.</t>
        </is>
      </c>
    </row>
    <row r="9">
      <c r="A9" s="18" t="inlineStr">
        <is>
          <t>Diş Kliniği Sahibi</t>
        </is>
      </c>
      <c r="B9" s="18" t="inlineStr">
        <is>
          <t>Buna neden para vereyim?</t>
        </is>
      </c>
      <c r="C9" s="18" t="inlineStr">
        <is>
          <t>Kaçan WhatsApp = kayıp implant. Google yorum = yeni hasta. Sekreter yükü azalır.</t>
        </is>
      </c>
    </row>
    <row r="10">
      <c r="A10" s="19" t="inlineStr">
        <is>
          <t>Diş Kliniği Sahibi</t>
        </is>
      </c>
      <c r="B10" s="19" t="inlineStr">
        <is>
          <t>Kurulum ne kadar sürer?</t>
        </is>
      </c>
      <c r="C10" s="19" t="inlineStr">
        <is>
          <t>1-2 gün uzaktan. QR + panel eğitimi 1 saat.</t>
        </is>
      </c>
    </row>
    <row r="11">
      <c r="A11" s="18" t="inlineStr">
        <is>
          <t>Satış Direktörü</t>
        </is>
      </c>
      <c r="B11" s="18" t="inlineStr">
        <is>
          <t>İlk 10 müşteriyi nasıl buluruz?</t>
        </is>
      </c>
      <c r="C11" s="18" t="inlineStr">
        <is>
          <t>Referans (Medident) + İstanbul yüz yüze + HBYS partner.</t>
        </is>
      </c>
    </row>
    <row r="12">
      <c r="A12" s="19" t="inlineStr">
        <is>
          <t>Satış Direktörü</t>
        </is>
      </c>
      <c r="B12" s="19" t="inlineStr">
        <is>
          <t>Fiyat direnci nerede?</t>
        </is>
      </c>
      <c r="C12" s="19" t="inlineStr">
        <is>
          <t>5.000 ₺ altı 'ucuz ve eksik' algısı. 8.000 ₺ orta klinik için sweet spot.</t>
        </is>
      </c>
    </row>
    <row r="13">
      <c r="A13" s="18" t="inlineStr">
        <is>
          <t>Finans CFO</t>
        </is>
      </c>
      <c r="B13" s="18" t="inlineStr">
        <is>
          <t>Yıl 1 neden zarar?</t>
        </is>
      </c>
      <c r="C13" s="18" t="inlineStr">
        <is>
          <t>SaaS normali. CAC + geliştirici sabit. Yıl 2'de marj açılır.</t>
        </is>
      </c>
    </row>
    <row r="14">
      <c r="A14" s="19" t="inlineStr">
        <is>
          <t>Finans CFO</t>
        </is>
      </c>
      <c r="B14" s="19" t="inlineStr">
        <is>
          <t>Kurulum ücreti şart mı?</t>
        </is>
      </c>
      <c r="C14" s="19" t="inlineStr">
        <is>
          <t>Evet — nakit akışı ve ciddiyet filtresi. 14.900 ₺ önerilir.</t>
        </is>
      </c>
    </row>
    <row r="15">
      <c r="A15" s="18" t="inlineStr">
        <is>
          <t>Ürün UX</t>
        </is>
      </c>
      <c r="B15" s="18" t="inlineStr">
        <is>
          <t>İlk ne geliştirilmeli?</t>
        </is>
      </c>
      <c r="C15" s="18" t="inlineStr">
        <is>
          <t>Inbox thread + Google onay. Grafikler sonra.</t>
        </is>
      </c>
    </row>
    <row r="16">
      <c r="A16" s="19" t="inlineStr">
        <is>
          <t>Ürün UX</t>
        </is>
      </c>
      <c r="B16" s="19" t="inlineStr">
        <is>
          <t>Mobil şart mı?</t>
        </is>
      </c>
      <c r="C16" s="19" t="inlineStr">
        <is>
          <t>Sekreter telefondan bakar — F2'de zorunlu.</t>
        </is>
      </c>
    </row>
    <row r="17">
      <c r="A17" s="18" t="inlineStr">
        <is>
          <t>DevOps</t>
        </is>
      </c>
      <c r="B17" s="18" t="inlineStr">
        <is>
          <t>İzleme ne zaman?</t>
        </is>
      </c>
      <c r="C17" s="18" t="inlineStr">
        <is>
          <t>5. klinikten sonra uptime alarmı. Pilot'ta manuel yeter.</t>
        </is>
      </c>
    </row>
    <row r="18">
      <c r="A18" s="19" t="inlineStr">
        <is>
          <t>DevOps</t>
        </is>
      </c>
      <c r="B18" s="19" t="inlineStr">
        <is>
          <t>Yedekleme?</t>
        </is>
      </c>
      <c r="C18" s="19" t="inlineStr">
        <is>
          <t>Günlük pg_dump + haftalık offsite. 10+ klinikte S3 TR.</t>
        </is>
      </c>
    </row>
    <row r="19">
      <c r="A19" s="18" t="inlineStr">
        <is>
          <t>Rakip Analisti</t>
        </is>
      </c>
      <c r="B19" s="18" t="inlineStr">
        <is>
          <t>Podium neden tehdit değil?</t>
        </is>
      </c>
      <c r="C19" s="18" t="inlineStr">
        <is>
          <t>TR yok, TL fiyat yok, KVKK uyumu yok. Yerel avantaj.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REKABET SKOR KARTI</t>
        </is>
      </c>
    </row>
    <row r="2">
      <c r="A2" s="2" t="inlineStr">
        <is>
          <t>1=düşük 5=yüksek — Nefalix hedef pazar: orta diş kliniği TR</t>
        </is>
      </c>
    </row>
    <row r="4">
      <c r="A4" s="17" t="inlineStr">
        <is>
          <t>Kriter</t>
        </is>
      </c>
      <c r="B4" s="17" t="inlineStr">
        <is>
          <t>Nefalix</t>
        </is>
      </c>
      <c r="C4" s="17" t="inlineStr">
        <is>
          <t>Yerel WA CRM</t>
        </is>
      </c>
      <c r="D4" s="17" t="inlineStr">
        <is>
          <t>Bulut Klinik</t>
        </is>
      </c>
      <c r="E4" s="17" t="inlineStr">
        <is>
          <t>Podium</t>
        </is>
      </c>
      <c r="F4" s="17" t="inlineStr">
        <is>
          <t>Manuel</t>
        </is>
      </c>
      <c r="G4" s="17" t="inlineStr">
        <is>
          <t>Ajans</t>
        </is>
      </c>
    </row>
    <row r="5">
      <c r="A5" s="39" t="inlineStr">
        <is>
          <t>Fiyat</t>
        </is>
      </c>
      <c r="B5" s="52" t="n">
        <v>4</v>
      </c>
      <c r="C5" s="46" t="n">
        <v>5</v>
      </c>
      <c r="D5" s="46" t="n">
        <v>3</v>
      </c>
      <c r="E5" s="46" t="n">
        <v>1</v>
      </c>
      <c r="F5" s="46" t="n">
        <v>5</v>
      </c>
      <c r="G5" s="46" t="n">
        <v>2</v>
      </c>
    </row>
    <row r="6">
      <c r="A6" s="39" t="inlineStr">
        <is>
          <t>AI</t>
        </is>
      </c>
      <c r="B6" s="52" t="n">
        <v>5</v>
      </c>
      <c r="C6" s="46" t="n">
        <v>2</v>
      </c>
      <c r="D6" s="46" t="n">
        <v>1</v>
      </c>
      <c r="E6" s="46" t="n">
        <v>4</v>
      </c>
      <c r="F6" s="46" t="n">
        <v>1</v>
      </c>
      <c r="G6" s="46" t="n">
        <v>2</v>
      </c>
    </row>
    <row r="7">
      <c r="A7" s="39" t="inlineStr">
        <is>
          <t>WhatsApp</t>
        </is>
      </c>
      <c r="B7" s="52" t="n">
        <v>5</v>
      </c>
      <c r="C7" s="46" t="n">
        <v>4</v>
      </c>
      <c r="D7" s="46" t="n">
        <v>2</v>
      </c>
      <c r="E7" s="46" t="n">
        <v>4</v>
      </c>
      <c r="F7" s="46" t="n">
        <v>3</v>
      </c>
      <c r="G7" s="46" t="n">
        <v>3</v>
      </c>
    </row>
    <row r="8">
      <c r="A8" s="39" t="inlineStr">
        <is>
          <t>Google yorum</t>
        </is>
      </c>
      <c r="B8" s="52" t="n">
        <v>5</v>
      </c>
      <c r="C8" s="46" t="n">
        <v>1</v>
      </c>
      <c r="D8" s="46" t="n">
        <v>2</v>
      </c>
      <c r="E8" s="46" t="n">
        <v>5</v>
      </c>
      <c r="F8" s="46" t="n">
        <v>2</v>
      </c>
      <c r="G8" s="46" t="n">
        <v>4</v>
      </c>
    </row>
    <row r="9">
      <c r="A9" s="39" t="inlineStr">
        <is>
          <t>KVKK/TR</t>
        </is>
      </c>
      <c r="B9" s="52" t="n">
        <v>5</v>
      </c>
      <c r="C9" s="46" t="n">
        <v>3</v>
      </c>
      <c r="D9" s="46" t="n">
        <v>4</v>
      </c>
      <c r="E9" s="46" t="n">
        <v>1</v>
      </c>
      <c r="F9" s="46" t="n">
        <v>5</v>
      </c>
      <c r="G9" s="46" t="n">
        <v>3</v>
      </c>
    </row>
    <row r="10">
      <c r="A10" s="39" t="inlineStr">
        <is>
          <t>Kolay kurulum</t>
        </is>
      </c>
      <c r="B10" s="52" t="n">
        <v>4</v>
      </c>
      <c r="C10" s="46" t="n">
        <v>5</v>
      </c>
      <c r="D10" s="46" t="n">
        <v>3</v>
      </c>
      <c r="E10" s="46" t="n">
        <v>2</v>
      </c>
      <c r="F10" s="46" t="n">
        <v>5</v>
      </c>
      <c r="G10" s="46" t="n">
        <v>2</v>
      </c>
    </row>
    <row r="11">
      <c r="A11" s="39" t="inlineStr">
        <is>
          <t>Destek TR</t>
        </is>
      </c>
      <c r="B11" s="52" t="n">
        <v>5</v>
      </c>
      <c r="C11" s="46" t="n">
        <v>4</v>
      </c>
      <c r="D11" s="46" t="n">
        <v>4</v>
      </c>
      <c r="E11" s="46" t="n">
        <v>1</v>
      </c>
      <c r="F11" s="46" t="n">
        <v>5</v>
      </c>
      <c r="G11" s="46" t="n">
        <v>4</v>
      </c>
    </row>
    <row r="14">
      <c r="A14" s="17" t="inlineStr">
        <is>
          <t>Segment</t>
        </is>
      </c>
      <c r="B14" s="17" t="inlineStr">
        <is>
          <t>Büyüklük</t>
        </is>
      </c>
      <c r="C14" s="17" t="inlineStr">
        <is>
          <t>Nefalix hedef</t>
        </is>
      </c>
    </row>
    <row r="15">
      <c r="A15" s="18" t="inlineStr">
        <is>
          <t>TAM</t>
        </is>
      </c>
      <c r="B15" s="18" t="inlineStr">
        <is>
          <t>~25.000 diş kliniği TR</t>
        </is>
      </c>
      <c r="C15" s="18" t="inlineStr">
        <is>
          <t>Uzun vadeli</t>
        </is>
      </c>
    </row>
    <row r="16">
      <c r="A16" s="19" t="inlineStr">
        <is>
          <t>SAM</t>
        </is>
      </c>
      <c r="B16" s="19" t="inlineStr">
        <is>
          <t>~4.000 dijital olgun klinik</t>
        </is>
      </c>
      <c r="C16" s="19" t="inlineStr">
        <is>
          <t>3-5 yıl</t>
        </is>
      </c>
    </row>
    <row r="17">
      <c r="A17" s="18" t="inlineStr">
        <is>
          <t>SOM (3 yıl)</t>
        </is>
      </c>
      <c r="B17" s="18" t="inlineStr">
        <is>
          <t>150 klinik</t>
        </is>
      </c>
      <c r="C17" s="18" t="inlineStr">
        <is>
          <t>%3,75 SAM</t>
        </is>
      </c>
    </row>
    <row r="18">
      <c r="A18" s="19" t="inlineStr">
        <is>
          <t>SOM (1 yıl)</t>
        </is>
      </c>
      <c r="B18" s="19" t="inlineStr">
        <is>
          <t>8-10 klinik</t>
        </is>
      </c>
      <c r="C18" s="19" t="inlineStr">
        <is>
          <t>Gerçekçi pilot sonrası</t>
        </is>
      </c>
    </row>
  </sheetData>
  <mergeCells count="2">
    <mergeCell ref="A2:H2"/>
    <mergeCell ref="A1:H1"/>
  </mergeCells>
  <conditionalFormatting sqref="B5:G11">
    <cfRule type="colorScale" priority="1">
      <colorScale>
        <cfvo type="min"/>
        <cfvo type="max"/>
        <color rgb="00FEE2E2"/>
        <color rgb="00DCFCE7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4" customWidth="1" min="4" max="4"/>
    <col width="16" customWidth="1" min="5" max="5"/>
    <col width="12" customWidth="1" min="6" max="6"/>
  </cols>
  <sheetData>
    <row r="1">
      <c r="A1" s="1" t="inlineStr">
        <is>
          <t>KLİNİK MÜŞTERİ YOLCULUĞU</t>
        </is>
      </c>
    </row>
    <row r="2">
      <c r="A2" s="2" t="inlineStr">
        <is>
          <t>İlk temas → sadık müşteri</t>
        </is>
      </c>
    </row>
    <row r="4">
      <c r="A4" s="17" t="inlineStr">
        <is>
          <t>Aşama</t>
        </is>
      </c>
      <c r="B4" s="17" t="inlineStr">
        <is>
          <t>Süre</t>
        </is>
      </c>
      <c r="C4" s="17" t="inlineStr">
        <is>
          <t>Klinik ne yaşar?</t>
        </is>
      </c>
      <c r="D4" s="17" t="inlineStr">
        <is>
          <t>Biz ne yaparız?</t>
        </is>
      </c>
      <c r="E4" s="17" t="inlineStr">
        <is>
          <t>Çıktı</t>
        </is>
      </c>
      <c r="F4" s="17" t="inlineStr">
        <is>
          <t>Maliyet</t>
        </is>
      </c>
    </row>
    <row r="5">
      <c r="A5" s="18" t="inlineStr">
        <is>
          <t>1. Demo</t>
        </is>
      </c>
      <c r="B5" s="18" t="inlineStr">
        <is>
          <t>30 dk</t>
        </is>
      </c>
      <c r="C5" s="18" t="inlineStr">
        <is>
          <t>Canlı panel görür</t>
        </is>
      </c>
      <c r="D5" s="18" t="inlineStr">
        <is>
          <t>Medident verisiyle demo</t>
        </is>
      </c>
      <c r="E5" s="18" t="inlineStr">
        <is>
          <t>İlgi</t>
        </is>
      </c>
      <c r="F5" s="18" t="inlineStr">
        <is>
          <t>0</t>
        </is>
      </c>
    </row>
    <row r="6">
      <c r="A6" s="19" t="inlineStr">
        <is>
          <t>2. Teklif</t>
        </is>
      </c>
      <c r="B6" s="19" t="inlineStr">
        <is>
          <t>3-5 gün</t>
        </is>
      </c>
      <c r="C6" s="19" t="inlineStr">
        <is>
          <t>Paket + fiyat</t>
        </is>
      </c>
      <c r="D6" s="19" t="inlineStr">
        <is>
          <t>ROI hesabı sunarız</t>
        </is>
      </c>
      <c r="E6" s="19" t="inlineStr">
        <is>
          <t>Onay</t>
        </is>
      </c>
      <c r="F6" s="19" t="inlineStr">
        <is>
          <t>CAC başlar</t>
        </is>
      </c>
    </row>
    <row r="7">
      <c r="A7" s="18" t="inlineStr">
        <is>
          <t>3. Sözleşme</t>
        </is>
      </c>
      <c r="B7" s="18" t="inlineStr">
        <is>
          <t>1 hafta</t>
        </is>
      </c>
      <c r="C7" s="18" t="inlineStr">
        <is>
          <t>KVKK + DPA imza</t>
        </is>
      </c>
      <c r="D7" s="18" t="inlineStr">
        <is>
          <t>Hukuk metinleri</t>
        </is>
      </c>
      <c r="E7" s="18" t="inlineStr">
        <is>
          <t>Yasal OK</t>
        </is>
      </c>
      <c r="F7" s="18" t="inlineStr">
        <is>
          <t>~2.500 ₺</t>
        </is>
      </c>
    </row>
    <row r="8">
      <c r="A8" s="19" t="inlineStr">
        <is>
          <t>4. Kurulum</t>
        </is>
      </c>
      <c r="B8" s="19" t="inlineStr">
        <is>
          <t>1-2 gün</t>
        </is>
      </c>
      <c r="C8" s="19" t="inlineStr">
        <is>
          <t>QR, panel, eğitim</t>
        </is>
      </c>
      <c r="D8" s="19" t="inlineStr">
        <is>
          <t>Onboarding script</t>
        </is>
      </c>
      <c r="E8" s="19" t="inlineStr">
        <is>
          <t>Canlı</t>
        </is>
      </c>
      <c r="F8" s="19" t="inlineStr">
        <is>
          <t>8-12 saat iş</t>
        </is>
      </c>
    </row>
    <row r="9">
      <c r="A9" s="18" t="inlineStr">
        <is>
          <t>5. Go-live</t>
        </is>
      </c>
      <c r="B9" s="18" t="inlineStr">
        <is>
          <t>Hafta 1</t>
        </is>
      </c>
      <c r="C9" s="18" t="inlineStr">
        <is>
          <t>İlk mesajlar gelir</t>
        </is>
      </c>
      <c r="D9" s="18" t="inlineStr">
        <is>
          <t>Destek hattı</t>
        </is>
      </c>
      <c r="E9" s="18" t="inlineStr">
        <is>
          <t>İlk değer</t>
        </is>
      </c>
      <c r="F9" s="18" t="inlineStr">
        <is>
          <t>Destek</t>
        </is>
      </c>
    </row>
    <row r="10">
      <c r="A10" s="19" t="inlineStr">
        <is>
          <t>6. Başarı</t>
        </is>
      </c>
      <c r="B10" s="19" t="inlineStr">
        <is>
          <t>Ay 1-3</t>
        </is>
      </c>
      <c r="C10" s="19" t="inlineStr">
        <is>
          <t>NPS + yorum artışı</t>
        </is>
      </c>
      <c r="D10" s="19" t="inlineStr">
        <is>
          <t>Aylık check-in</t>
        </is>
      </c>
      <c r="E10" s="19" t="inlineStr">
        <is>
          <t>Case study</t>
        </is>
      </c>
      <c r="F10" s="19" t="inlineStr">
        <is>
          <t>0</t>
        </is>
      </c>
    </row>
    <row r="11">
      <c r="A11" s="18" t="inlineStr">
        <is>
          <t>7. Genişleme</t>
        </is>
      </c>
      <c r="B11" s="18" t="inlineStr">
        <is>
          <t>Ay 6+</t>
        </is>
      </c>
      <c r="C11" s="18" t="inlineStr">
        <is>
          <t>2. şube / referans</t>
        </is>
      </c>
      <c r="D11" s="18" t="inlineStr">
        <is>
          <t>Upsell kurumsal</t>
        </is>
      </c>
      <c r="E11" s="18" t="inlineStr">
        <is>
          <t>LTV artışı</t>
        </is>
      </c>
      <c r="F11" s="18" t="inlineStr">
        <is>
          <t>Düşük CAC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4" customWidth="1" min="4" max="4"/>
    <col width="36" customWidth="1" min="5" max="5"/>
  </cols>
  <sheetData>
    <row r="1">
      <c r="A1" s="1" t="inlineStr">
        <is>
          <t>EKİP &amp; İŞE ALIM PLANI</t>
        </is>
      </c>
    </row>
    <row r="4">
      <c r="A4" s="17" t="inlineStr">
        <is>
          <t>Rol</t>
        </is>
      </c>
      <c r="B4" s="17" t="inlineStr">
        <is>
          <t>Ne zaman?</t>
        </is>
      </c>
      <c r="C4" s="17" t="inlineStr">
        <is>
          <t>Zaman</t>
        </is>
      </c>
      <c r="D4" s="17" t="inlineStr">
        <is>
          <t>Aylık (₺)</t>
        </is>
      </c>
      <c r="E4" s="17" t="inlineStr">
        <is>
          <t>Görev</t>
        </is>
      </c>
    </row>
    <row r="5">
      <c r="A5" s="18" t="inlineStr">
        <is>
          <t>Kurucu / CEO</t>
        </is>
      </c>
      <c r="B5" s="18" t="inlineStr">
        <is>
          <t>Şimdi</t>
        </is>
      </c>
      <c r="C5" s="18" t="inlineStr">
        <is>
          <t>Full</t>
        </is>
      </c>
      <c r="D5" s="18" t="inlineStr">
        <is>
          <t>Hisse</t>
        </is>
      </c>
      <c r="E5" s="18" t="inlineStr">
        <is>
          <t>Vizyon, satış, ürün</t>
        </is>
      </c>
    </row>
    <row r="6">
      <c r="A6" s="19" t="inlineStr">
        <is>
          <t>Freelance developer</t>
        </is>
      </c>
      <c r="B6" s="19" t="inlineStr">
        <is>
          <t>Tem 2026</t>
        </is>
      </c>
      <c r="C6" s="19" t="inlineStr">
        <is>
          <t>%50</t>
        </is>
      </c>
      <c r="D6" s="19" t="inlineStr">
        <is>
          <t>45.000</t>
        </is>
      </c>
      <c r="E6" s="19" t="inlineStr">
        <is>
          <t>Panel + API geçişi</t>
        </is>
      </c>
    </row>
    <row r="7">
      <c r="A7" s="18" t="inlineStr">
        <is>
          <t>Hukuk (KVKK)</t>
        </is>
      </c>
      <c r="B7" s="18" t="inlineStr">
        <is>
          <t>Tem 2026</t>
        </is>
      </c>
      <c r="C7" s="18" t="inlineStr">
        <is>
          <t>Proje</t>
        </is>
      </c>
      <c r="D7" s="18" t="inlineStr">
        <is>
          <t>25.000 (tek)</t>
        </is>
      </c>
      <c r="E7" s="18" t="inlineStr">
        <is>
          <t>Sözleşmeler</t>
        </is>
      </c>
    </row>
    <row r="8">
      <c r="A8" s="19" t="inlineStr">
        <is>
          <t>Satış / BD</t>
        </is>
      </c>
      <c r="B8" s="19" t="inlineStr">
        <is>
          <t>Eyl 2026</t>
        </is>
      </c>
      <c r="C8" s="19" t="inlineStr">
        <is>
          <t>%50</t>
        </is>
      </c>
      <c r="D8" s="19" t="inlineStr">
        <is>
          <t>30.000</t>
        </is>
      </c>
      <c r="E8" s="19" t="inlineStr">
        <is>
          <t>Demo, kapanış</t>
        </is>
      </c>
    </row>
    <row r="9">
      <c r="A9" s="18" t="inlineStr">
        <is>
          <t>Müşteri desteği</t>
        </is>
      </c>
      <c r="B9" s="18" t="inlineStr">
        <is>
          <t>10. klinik</t>
        </is>
      </c>
      <c r="C9" s="18" t="inlineStr">
        <is>
          <t>%50</t>
        </is>
      </c>
      <c r="D9" s="18" t="inlineStr">
        <is>
          <t>22.000</t>
        </is>
      </c>
      <c r="E9" s="18" t="inlineStr">
        <is>
          <t>Ticket, eğitim</t>
        </is>
      </c>
    </row>
    <row r="10">
      <c r="A10" s="19" t="inlineStr">
        <is>
          <t>Full-time developer</t>
        </is>
      </c>
      <c r="B10" s="19" t="inlineStr">
        <is>
          <t>20. klinik</t>
        </is>
      </c>
      <c r="C10" s="19" t="inlineStr">
        <is>
          <t>Full</t>
        </is>
      </c>
      <c r="D10" s="19" t="inlineStr">
        <is>
          <t>80.000</t>
        </is>
      </c>
      <c r="E10" s="19" t="inlineStr">
        <is>
          <t>Ölçek, HBYS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MEDIDENT İSTANBUL — PİLOT SKOR KARTI</t>
        </is>
      </c>
    </row>
    <row r="2">
      <c r="A2" s="2" t="inlineStr">
        <is>
          <t>clinic_id: 51738ea8-c12e-40ce-a0e2-42869496d76b</t>
        </is>
      </c>
    </row>
    <row r="4">
      <c r="A4" s="17" t="inlineStr">
        <is>
          <t>Metrik</t>
        </is>
      </c>
      <c r="B4" s="17" t="inlineStr">
        <is>
          <t>Hedef</t>
        </is>
      </c>
      <c r="C4" s="17" t="inlineStr">
        <is>
          <t>Şu an</t>
        </is>
      </c>
      <c r="D4" s="17" t="inlineStr">
        <is>
          <t>Durum</t>
        </is>
      </c>
    </row>
    <row r="5">
      <c r="A5" s="18" t="inlineStr">
        <is>
          <t>Panel erişilebilirlik</t>
        </is>
      </c>
      <c r="B5" s="18" t="inlineStr">
        <is>
          <t>%99</t>
        </is>
      </c>
      <c r="C5" s="18" t="inlineStr">
        <is>
          <t>VPS askı</t>
        </is>
      </c>
      <c r="D5" s="18" t="inlineStr">
        <is>
          <t>🔴</t>
        </is>
      </c>
    </row>
    <row r="6">
      <c r="A6" s="19" t="inlineStr">
        <is>
          <t>Haftalık panel girişi (yönetici)</t>
        </is>
      </c>
      <c r="B6" s="19" t="inlineStr">
        <is>
          <t>5+/hafta</t>
        </is>
      </c>
      <c r="C6" s="19" t="inlineStr">
        <is>
          <t>—</t>
        </is>
      </c>
      <c r="D6" s="19" t="inlineStr">
        <is>
          <t>⏳</t>
        </is>
      </c>
    </row>
    <row r="7">
      <c r="A7" s="18" t="inlineStr">
        <is>
          <t>Inbox yanıt panelden</t>
        </is>
      </c>
      <c r="B7" s="18" t="inlineStr">
        <is>
          <t>%80</t>
        </is>
      </c>
      <c r="C7" s="18" t="inlineStr">
        <is>
          <t>—</t>
        </is>
      </c>
      <c r="D7" s="18" t="inlineStr">
        <is>
          <t>⏳</t>
        </is>
      </c>
    </row>
    <row r="8">
      <c r="A8" s="19" t="inlineStr">
        <is>
          <t>Google yorum onay oranı</t>
        </is>
      </c>
      <c r="B8" s="19" t="inlineStr">
        <is>
          <t>%50</t>
        </is>
      </c>
      <c r="C8" s="19" t="inlineStr">
        <is>
          <t>—</t>
        </is>
      </c>
      <c r="D8" s="19" t="inlineStr">
        <is>
          <t>⏳</t>
        </is>
      </c>
    </row>
    <row r="9">
      <c r="A9" s="18" t="inlineStr">
        <is>
          <t>WhatsApp bağlı</t>
        </is>
      </c>
      <c r="B9" s="18" t="inlineStr">
        <is>
          <t>Evet</t>
        </is>
      </c>
      <c r="C9" s="18" t="inlineStr">
        <is>
          <t>QR gerekli</t>
        </is>
      </c>
      <c r="D9" s="18" t="inlineStr">
        <is>
          <t>🟡</t>
        </is>
      </c>
    </row>
    <row r="10">
      <c r="A10" s="19" t="inlineStr">
        <is>
          <t>NPS ortalama</t>
        </is>
      </c>
      <c r="B10" s="19" t="inlineStr">
        <is>
          <t>&gt;8</t>
        </is>
      </c>
      <c r="C10" s="19" t="inlineStr">
        <is>
          <t>—</t>
        </is>
      </c>
      <c r="D10" s="19" t="inlineStr">
        <is>
          <t>⏳</t>
        </is>
      </c>
    </row>
    <row r="11">
      <c r="A11" s="18" t="inlineStr">
        <is>
          <t>Google puan değişimi</t>
        </is>
      </c>
      <c r="B11" s="18" t="inlineStr">
        <is>
          <t>+0,2</t>
        </is>
      </c>
      <c r="C11" s="18" t="inlineStr">
        <is>
          <t>—</t>
        </is>
      </c>
      <c r="D11" s="18" t="inlineStr">
        <is>
          <t>⏳</t>
        </is>
      </c>
    </row>
    <row r="12">
      <c r="A12" s="19" t="inlineStr">
        <is>
          <t>Referans hazır (case study)</t>
        </is>
      </c>
      <c r="B12" s="19" t="inlineStr">
        <is>
          <t>Evet</t>
        </is>
      </c>
      <c r="C12" s="19" t="inlineStr">
        <is>
          <t>Hayır</t>
        </is>
      </c>
      <c r="D12" s="19" t="inlineStr">
        <is>
          <t>🟡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6" customWidth="1" min="3" max="3"/>
    <col width="28" customWidth="1" min="4" max="4"/>
  </cols>
  <sheetData>
    <row r="1">
      <c r="A1" s="1" t="inlineStr">
        <is>
          <t>YATIRIMCI / ORTAK ÖZETİ</t>
        </is>
      </c>
    </row>
    <row r="2">
      <c r="A2" s="2" t="inlineStr">
        <is>
          <t>SaaS metrikleri — formüller Finans sayfasına bağlı</t>
        </is>
      </c>
    </row>
    <row r="4">
      <c r="A4" s="17" t="inlineStr">
        <is>
          <t>Metrik</t>
        </is>
      </c>
      <c r="B4" s="17" t="inlineStr">
        <is>
          <t>Değer</t>
        </is>
      </c>
      <c r="C4" s="17" t="inlineStr">
        <is>
          <t>Formül / kaynak</t>
        </is>
      </c>
      <c r="D4" s="17" t="inlineStr">
        <is>
          <t>Sektör benchmark</t>
        </is>
      </c>
    </row>
    <row r="5">
      <c r="A5" s="18" t="inlineStr">
        <is>
          <t>MRR (ay 12)</t>
        </is>
      </c>
      <c r="B5" s="18">
        <f>Finans!E28</f>
        <v/>
      </c>
      <c r="C5" s="18" t="inlineStr">
        <is>
          <t>Aktif × ARPU</t>
        </is>
      </c>
      <c r="D5" s="18" t="inlineStr">
        <is>
          <t>Erken stage: 50K+ ₺ iyi</t>
        </is>
      </c>
    </row>
    <row r="6">
      <c r="A6" s="19" t="inlineStr">
        <is>
          <t>ARR (ay 12)</t>
        </is>
      </c>
      <c r="B6" s="19">
        <f>Finans!E28*12</f>
        <v/>
      </c>
      <c r="C6" s="19" t="inlineStr">
        <is>
          <t>MRR × 12</t>
        </is>
      </c>
      <c r="D6" s="19" t="inlineStr">
        <is>
          <t>—</t>
        </is>
      </c>
    </row>
    <row r="7">
      <c r="A7" s="18" t="inlineStr">
        <is>
          <t>Brüt marj</t>
        </is>
      </c>
      <c r="B7" s="18" t="inlineStr">
        <is>
          <t>%82</t>
        </is>
      </c>
      <c r="C7" s="18" t="inlineStr">
        <is>
          <t>Birim ekonomi</t>
        </is>
      </c>
      <c r="D7" s="18" t="inlineStr">
        <is>
          <t>SaaS: &gt;70%</t>
        </is>
      </c>
    </row>
    <row r="8">
      <c r="A8" s="19" t="inlineStr">
        <is>
          <t>CAC</t>
        </is>
      </c>
      <c r="B8" s="19" t="inlineStr">
        <is>
          <t>12.000 ₺</t>
        </is>
      </c>
      <c r="C8" s="19" t="inlineStr">
        <is>
          <t>Girdiler</t>
        </is>
      </c>
      <c r="D8" s="19" t="inlineStr">
        <is>
          <t>B2B SMB: 5-20K ₺</t>
        </is>
      </c>
    </row>
    <row r="9">
      <c r="A9" s="18" t="inlineStr">
        <is>
          <t>LTV (18 ay)</t>
        </is>
      </c>
      <c r="B9" s="18" t="inlineStr">
        <is>
          <t>143.820 ₺</t>
        </is>
      </c>
      <c r="C9" s="18" t="inlineStr">
        <is>
          <t>7990×18</t>
        </is>
      </c>
      <c r="D9" s="18" t="inlineStr">
        <is>
          <t>—</t>
        </is>
      </c>
    </row>
    <row r="10">
      <c r="A10" s="19" t="inlineStr">
        <is>
          <t>LTV/CAC</t>
        </is>
      </c>
      <c r="B10" s="19" t="inlineStr">
        <is>
          <t>12x</t>
        </is>
      </c>
      <c r="C10" s="19" t="inlineStr">
        <is>
          <t>LTV/CAC</t>
        </is>
      </c>
      <c r="D10" s="19" t="inlineStr">
        <is>
          <t>&gt;3x sağlıklı</t>
        </is>
      </c>
    </row>
    <row r="11">
      <c r="A11" s="18" t="inlineStr">
        <is>
          <t>Churn</t>
        </is>
      </c>
      <c r="B11" s="18" t="inlineStr">
        <is>
          <t>%4/ay</t>
        </is>
      </c>
      <c r="C11" s="18" t="inlineStr">
        <is>
          <t>Girdiler</t>
        </is>
      </c>
      <c r="D11" s="18" t="inlineStr">
        <is>
          <t>SMB: 3-7%</t>
        </is>
      </c>
    </row>
    <row r="12">
      <c r="A12" s="19" t="inlineStr">
        <is>
          <t>Payback</t>
        </is>
      </c>
      <c r="B12" s="19" t="inlineStr">
        <is>
          <t>~1,5 ay</t>
        </is>
      </c>
      <c r="C12" s="19" t="inlineStr">
        <is>
          <t>CAC/ARPU</t>
        </is>
      </c>
      <c r="D12" s="19" t="inlineStr">
        <is>
          <t>&lt;12 ay iyi</t>
        </is>
      </c>
    </row>
    <row r="13">
      <c r="A13" s="18" t="inlineStr">
        <is>
          <t>Burn (ort Y1)</t>
        </is>
      </c>
      <c r="B13" s="18">
        <f>Finans!N42</f>
        <v/>
      </c>
      <c r="C13" s="18" t="inlineStr">
        <is>
          <t>Finans modeli</t>
        </is>
      </c>
      <c r="D13" s="18" t="inlineStr">
        <is>
          <t>—</t>
        </is>
      </c>
    </row>
    <row r="14">
      <c r="A14" s="19" t="inlineStr">
        <is>
          <t>Runway</t>
        </is>
      </c>
      <c r="B14" s="19">
        <f>Finans!N43</f>
        <v/>
      </c>
      <c r="C14" s="19" t="inlineStr">
        <is>
          <t>Nakit/burn</t>
        </is>
      </c>
      <c r="D14" s="19" t="inlineStr">
        <is>
          <t>&gt;12 ay güvenli</t>
        </is>
      </c>
    </row>
    <row r="16">
      <c r="A16" s="17" t="inlineStr">
        <is>
          <t>Kilometre taşı</t>
        </is>
      </c>
      <c r="B16" s="17" t="inlineStr">
        <is>
          <t>Tarih</t>
        </is>
      </c>
      <c r="C16" s="17" t="inlineStr">
        <is>
          <t>Değerleme etkisi</t>
        </is>
      </c>
    </row>
    <row r="17">
      <c r="A17" s="18" t="inlineStr">
        <is>
          <t>Medident pilot canlı</t>
        </is>
      </c>
      <c r="B17" s="18" t="inlineStr">
        <is>
          <t>Tem 2026</t>
        </is>
      </c>
      <c r="C17" s="18" t="inlineStr">
        <is>
          <t>Teknik risk düşer</t>
        </is>
      </c>
    </row>
    <row r="18">
      <c r="A18" s="19" t="inlineStr">
        <is>
          <t>3 ödeyen klinik</t>
        </is>
      </c>
      <c r="B18" s="19" t="inlineStr">
        <is>
          <t>Ara 2026</t>
        </is>
      </c>
      <c r="C18" s="19" t="inlineStr">
        <is>
          <t>PMF sinyali</t>
        </is>
      </c>
    </row>
    <row r="19">
      <c r="A19" s="18" t="inlineStr">
        <is>
          <t>8 ödeyen klinik</t>
        </is>
      </c>
      <c r="B19" s="18" t="inlineStr">
        <is>
          <t>Haz 2027</t>
        </is>
      </c>
      <c r="C19" s="18" t="inlineStr">
        <is>
          <t>Seed hazırlığı</t>
        </is>
      </c>
    </row>
    <row r="20">
      <c r="A20" s="19" t="inlineStr">
        <is>
          <t>n8n → API tamam</t>
        </is>
      </c>
      <c r="B20" s="19" t="inlineStr">
        <is>
          <t>Eyl 2027</t>
        </is>
      </c>
      <c r="C20" s="19" t="inlineStr">
        <is>
          <t>Ölçeklenebilirlik</t>
        </is>
      </c>
    </row>
    <row r="21">
      <c r="A21" s="18" t="inlineStr">
        <is>
          <t>50 klinik</t>
        </is>
      </c>
      <c r="B21" s="18" t="inlineStr">
        <is>
          <t>2028</t>
        </is>
      </c>
      <c r="C21" s="18" t="inlineStr">
        <is>
          <t>Series A adayı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AYLIK KPI TAKİP ŞABLONU</t>
        </is>
      </c>
    </row>
    <row r="2">
      <c r="A2" s="2" t="inlineStr">
        <is>
          <t>Her ay doldurun — yönetim kurulu toplantısı</t>
        </is>
      </c>
    </row>
    <row r="4">
      <c r="A4" s="17" t="inlineStr">
        <is>
          <t>KPI</t>
        </is>
      </c>
      <c r="B4" s="17" t="inlineStr">
        <is>
          <t>Tem</t>
        </is>
      </c>
      <c r="C4" s="17" t="inlineStr">
        <is>
          <t>Ağu</t>
        </is>
      </c>
      <c r="D4" s="17" t="inlineStr">
        <is>
          <t>Eyl</t>
        </is>
      </c>
      <c r="E4" s="17" t="inlineStr">
        <is>
          <t>Eki</t>
        </is>
      </c>
      <c r="F4" s="17" t="inlineStr">
        <is>
          <t>Kas</t>
        </is>
      </c>
      <c r="G4" s="17" t="inlineStr">
        <is>
          <t>Ara</t>
        </is>
      </c>
      <c r="H4" s="17" t="inlineStr">
        <is>
          <t>Oca</t>
        </is>
      </c>
      <c r="I4" s="17" t="inlineStr">
        <is>
          <t>Şub</t>
        </is>
      </c>
      <c r="J4" s="17" t="inlineStr">
        <is>
          <t>Mar</t>
        </is>
      </c>
      <c r="K4" s="17" t="inlineStr">
        <is>
          <t>Nis</t>
        </is>
      </c>
      <c r="L4" s="17" t="inlineStr">
        <is>
          <t>May</t>
        </is>
      </c>
      <c r="M4" s="17" t="inlineStr">
        <is>
          <t>Haz</t>
        </is>
      </c>
      <c r="N4" s="17" t="inlineStr">
        <is>
          <t>Hedef</t>
        </is>
      </c>
    </row>
    <row r="5">
      <c r="A5" s="39" t="inlineStr">
        <is>
          <t>Aktif klinik</t>
        </is>
      </c>
      <c r="B5" s="33" t="inlineStr"/>
      <c r="C5" s="33" t="inlineStr"/>
      <c r="D5" s="33" t="inlineStr"/>
      <c r="E5" s="33" t="inlineStr"/>
      <c r="F5" s="33" t="inlineStr"/>
      <c r="G5" s="33" t="inlineStr"/>
      <c r="H5" s="33" t="inlineStr"/>
      <c r="I5" s="33" t="inlineStr"/>
      <c r="J5" s="33" t="inlineStr"/>
      <c r="K5" s="33" t="inlineStr"/>
      <c r="L5" s="33" t="inlineStr"/>
      <c r="M5" s="33" t="inlineStr"/>
      <c r="N5" s="53" t="n">
        <v>8</v>
      </c>
    </row>
    <row r="6">
      <c r="A6" s="39" t="inlineStr">
        <is>
          <t>MRR (₺)</t>
        </is>
      </c>
      <c r="B6" s="33" t="inlineStr"/>
      <c r="C6" s="33" t="inlineStr"/>
      <c r="D6" s="33" t="inlineStr"/>
      <c r="E6" s="33" t="inlineStr"/>
      <c r="F6" s="33" t="inlineStr"/>
      <c r="G6" s="33" t="inlineStr"/>
      <c r="H6" s="33" t="inlineStr"/>
      <c r="I6" s="33" t="inlineStr"/>
      <c r="J6" s="33" t="inlineStr"/>
      <c r="K6" s="33" t="inlineStr"/>
      <c r="L6" s="33" t="inlineStr"/>
      <c r="M6" s="33" t="inlineStr"/>
      <c r="N6" s="53" t="n">
        <v>64000</v>
      </c>
    </row>
    <row r="7">
      <c r="A7" s="39" t="inlineStr">
        <is>
          <t>Yeni klinik</t>
        </is>
      </c>
      <c r="B7" s="33" t="inlineStr"/>
      <c r="C7" s="33" t="inlineStr"/>
      <c r="D7" s="33" t="inlineStr"/>
      <c r="E7" s="33" t="inlineStr"/>
      <c r="F7" s="33" t="inlineStr"/>
      <c r="G7" s="33" t="inlineStr"/>
      <c r="H7" s="33" t="inlineStr"/>
      <c r="I7" s="33" t="inlineStr"/>
      <c r="J7" s="33" t="inlineStr"/>
      <c r="K7" s="33" t="inlineStr"/>
      <c r="L7" s="33" t="inlineStr"/>
      <c r="M7" s="33" t="inlineStr"/>
      <c r="N7" s="53" t="inlineStr">
        <is>
          <t>—</t>
        </is>
      </c>
    </row>
    <row r="8">
      <c r="A8" s="39" t="inlineStr">
        <is>
          <t>Churn (klinik)</t>
        </is>
      </c>
      <c r="B8" s="33" t="inlineStr"/>
      <c r="C8" s="33" t="inlineStr"/>
      <c r="D8" s="33" t="inlineStr"/>
      <c r="E8" s="33" t="inlineStr"/>
      <c r="F8" s="33" t="inlineStr"/>
      <c r="G8" s="33" t="inlineStr"/>
      <c r="H8" s="33" t="inlineStr"/>
      <c r="I8" s="33" t="inlineStr"/>
      <c r="J8" s="33" t="inlineStr"/>
      <c r="K8" s="33" t="inlineStr"/>
      <c r="L8" s="33" t="inlineStr"/>
      <c r="M8" s="33" t="inlineStr"/>
      <c r="N8" s="53" t="n">
        <v>0</v>
      </c>
    </row>
    <row r="9">
      <c r="A9" s="39" t="inlineStr">
        <is>
          <t>Panel kullanım %</t>
        </is>
      </c>
      <c r="B9" s="33" t="inlineStr"/>
      <c r="C9" s="33" t="inlineStr"/>
      <c r="D9" s="33" t="inlineStr"/>
      <c r="E9" s="33" t="inlineStr"/>
      <c r="F9" s="33" t="inlineStr"/>
      <c r="G9" s="33" t="inlineStr"/>
      <c r="H9" s="33" t="inlineStr"/>
      <c r="I9" s="33" t="inlineStr"/>
      <c r="J9" s="33" t="inlineStr"/>
      <c r="K9" s="33" t="inlineStr"/>
      <c r="L9" s="33" t="inlineStr"/>
      <c r="M9" s="33" t="inlineStr"/>
      <c r="N9" s="53" t="n">
        <v>85</v>
      </c>
    </row>
    <row r="10">
      <c r="A10" s="39" t="inlineStr">
        <is>
          <t>Inbox yanıt süresi (saat)</t>
        </is>
      </c>
      <c r="B10" s="33" t="inlineStr"/>
      <c r="C10" s="33" t="inlineStr"/>
      <c r="D10" s="33" t="inlineStr"/>
      <c r="E10" s="33" t="inlineStr"/>
      <c r="F10" s="33" t="inlineStr"/>
      <c r="G10" s="33" t="inlineStr"/>
      <c r="H10" s="33" t="inlineStr"/>
      <c r="I10" s="33" t="inlineStr"/>
      <c r="J10" s="33" t="inlineStr"/>
      <c r="K10" s="33" t="inlineStr"/>
      <c r="L10" s="33" t="inlineStr"/>
      <c r="M10" s="33" t="inlineStr"/>
      <c r="N10" s="53" t="n">
        <v>2</v>
      </c>
    </row>
    <row r="11">
      <c r="A11" s="39" t="inlineStr">
        <is>
          <t>NPS ortalama</t>
        </is>
      </c>
      <c r="B11" s="33" t="inlineStr"/>
      <c r="C11" s="33" t="inlineStr"/>
      <c r="D11" s="33" t="inlineStr"/>
      <c r="E11" s="33" t="inlineStr"/>
      <c r="F11" s="33" t="inlineStr"/>
      <c r="G11" s="33" t="inlineStr"/>
      <c r="H11" s="33" t="inlineStr"/>
      <c r="I11" s="33" t="inlineStr"/>
      <c r="J11" s="33" t="inlineStr"/>
      <c r="K11" s="33" t="inlineStr"/>
      <c r="L11" s="33" t="inlineStr"/>
      <c r="M11" s="33" t="inlineStr"/>
      <c r="N11" s="53" t="n">
        <v>8.5</v>
      </c>
    </row>
    <row r="12">
      <c r="A12" s="39" t="inlineStr">
        <is>
          <t>Destek ticket</t>
        </is>
      </c>
      <c r="B12" s="33" t="inlineStr"/>
      <c r="C12" s="33" t="inlineStr"/>
      <c r="D12" s="33" t="inlineStr"/>
      <c r="E12" s="33" t="inlineStr"/>
      <c r="F12" s="33" t="inlineStr"/>
      <c r="G12" s="33" t="inlineStr"/>
      <c r="H12" s="33" t="inlineStr"/>
      <c r="I12" s="33" t="inlineStr"/>
      <c r="J12" s="33" t="inlineStr"/>
      <c r="K12" s="33" t="inlineStr"/>
      <c r="L12" s="33" t="inlineStr"/>
      <c r="M12" s="33" t="inlineStr"/>
      <c r="N12" s="53" t="n">
        <v>10</v>
      </c>
    </row>
    <row r="13">
      <c r="A13" s="39" t="inlineStr">
        <is>
          <t>Uptime %</t>
        </is>
      </c>
      <c r="B13" s="33" t="inlineStr"/>
      <c r="C13" s="33" t="inlineStr"/>
      <c r="D13" s="33" t="inlineStr"/>
      <c r="E13" s="33" t="inlineStr"/>
      <c r="F13" s="33" t="inlineStr"/>
      <c r="G13" s="33" t="inlineStr"/>
      <c r="H13" s="33" t="inlineStr"/>
      <c r="I13" s="33" t="inlineStr"/>
      <c r="J13" s="33" t="inlineStr"/>
      <c r="K13" s="33" t="inlineStr"/>
      <c r="L13" s="33" t="inlineStr"/>
      <c r="M13" s="33" t="inlineStr"/>
      <c r="N13" s="53" t="n">
        <v>99.5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0" customWidth="1" min="4" max="4"/>
    <col width="10" customWidth="1" min="5" max="5"/>
    <col width="6" customWidth="1" min="6" max="6"/>
    <col width="14" customWidth="1" min="7" max="7"/>
  </cols>
  <sheetData>
    <row r="1">
      <c r="A1" s="1" t="inlineStr">
        <is>
          <t>180 GÜNLÜK AKSİYON PLANI</t>
        </is>
      </c>
    </row>
    <row r="4">
      <c r="A4" s="17" t="inlineStr">
        <is>
          <t>#</t>
        </is>
      </c>
      <c r="B4" s="17" t="inlineStr">
        <is>
          <t>Aksiyon</t>
        </is>
      </c>
      <c r="C4" s="17" t="inlineStr">
        <is>
          <t>Sorumlu</t>
        </is>
      </c>
      <c r="D4" s="17" t="inlineStr">
        <is>
          <t>Tarih</t>
        </is>
      </c>
      <c r="E4" s="17" t="inlineStr">
        <is>
          <t>₺</t>
        </is>
      </c>
      <c r="F4" s="17" t="inlineStr">
        <is>
          <t>P</t>
        </is>
      </c>
      <c r="G4" s="17" t="inlineStr">
        <is>
          <t>Etki</t>
        </is>
      </c>
    </row>
    <row r="5">
      <c r="A5" s="18" t="n">
        <v>1</v>
      </c>
      <c r="B5" s="18" t="inlineStr">
        <is>
          <t>VPS askı kaldır</t>
        </is>
      </c>
      <c r="C5" s="18" t="inlineStr">
        <is>
          <t>Teknik</t>
        </is>
      </c>
      <c r="D5" s="18" t="inlineStr">
        <is>
          <t>Haz 26</t>
        </is>
      </c>
      <c r="E5" s="18" t="n">
        <v>0</v>
      </c>
      <c r="F5" s="49" t="inlineStr">
        <is>
          <t>P0</t>
        </is>
      </c>
      <c r="G5" s="18" t="inlineStr">
        <is>
          <t>Blokaj</t>
        </is>
      </c>
    </row>
    <row r="6">
      <c r="A6" s="19" t="n">
        <v>2</v>
      </c>
      <c r="B6" s="19" t="inlineStr">
        <is>
          <t>KVKK paketi</t>
        </is>
      </c>
      <c r="C6" s="19" t="inlineStr">
        <is>
          <t>Hukuk</t>
        </is>
      </c>
      <c r="D6" s="19" t="inlineStr">
        <is>
          <t>Tem 26</t>
        </is>
      </c>
      <c r="E6" s="19" t="n">
        <v>25000</v>
      </c>
      <c r="F6" s="49" t="inlineStr">
        <is>
          <t>P0</t>
        </is>
      </c>
      <c r="G6" s="19" t="inlineStr">
        <is>
          <t>Satış öncesi</t>
        </is>
      </c>
    </row>
    <row r="7">
      <c r="A7" s="18" t="n">
        <v>3</v>
      </c>
      <c r="B7" s="18" t="inlineStr">
        <is>
          <t>Medident eğitim</t>
        </is>
      </c>
      <c r="C7" s="18" t="inlineStr">
        <is>
          <t>Ops</t>
        </is>
      </c>
      <c r="D7" s="18" t="inlineStr">
        <is>
          <t>Tem 26</t>
        </is>
      </c>
      <c r="E7" s="18" t="n">
        <v>0</v>
      </c>
      <c r="F7" s="49" t="inlineStr">
        <is>
          <t>P0</t>
        </is>
      </c>
      <c r="G7" s="18" t="inlineStr">
        <is>
          <t>Adoption</t>
        </is>
      </c>
    </row>
    <row r="8">
      <c r="A8" s="19" t="n">
        <v>4</v>
      </c>
      <c r="B8" s="19" t="inlineStr">
        <is>
          <t>Sağlık göstergesi UI</t>
        </is>
      </c>
      <c r="C8" s="19" t="inlineStr">
        <is>
          <t>Dev</t>
        </is>
      </c>
      <c r="D8" s="19" t="inlineStr">
        <is>
          <t>Tem 26</t>
        </is>
      </c>
      <c r="E8" s="19" t="n">
        <v>0</v>
      </c>
      <c r="F8" s="19" t="inlineStr">
        <is>
          <t>P1</t>
        </is>
      </c>
      <c r="G8" s="19" t="inlineStr">
        <is>
          <t>Güven</t>
        </is>
      </c>
    </row>
    <row r="9">
      <c r="A9" s="18" t="n">
        <v>5</v>
      </c>
      <c r="B9" s="18" t="inlineStr">
        <is>
          <t>Google onay ekranı</t>
        </is>
      </c>
      <c r="C9" s="18" t="inlineStr">
        <is>
          <t>Dev</t>
        </is>
      </c>
      <c r="D9" s="18" t="inlineStr">
        <is>
          <t>Ağu 26</t>
        </is>
      </c>
      <c r="E9" s="18" t="n">
        <v>0</v>
      </c>
      <c r="F9" s="18" t="inlineStr">
        <is>
          <t>P1</t>
        </is>
      </c>
      <c r="G9" s="18" t="inlineStr">
        <is>
          <t>Değer</t>
        </is>
      </c>
    </row>
    <row r="10">
      <c r="A10" s="19" t="n">
        <v>6</v>
      </c>
      <c r="B10" s="19" t="inlineStr">
        <is>
          <t>Inbox thread UI</t>
        </is>
      </c>
      <c r="C10" s="19" t="inlineStr">
        <is>
          <t>Dev</t>
        </is>
      </c>
      <c r="D10" s="19" t="inlineStr">
        <is>
          <t>Ağu 26</t>
        </is>
      </c>
      <c r="E10" s="19" t="n">
        <v>0</v>
      </c>
      <c r="F10" s="19" t="inlineStr">
        <is>
          <t>P1</t>
        </is>
      </c>
      <c r="G10" s="19" t="inlineStr">
        <is>
          <t>Değer</t>
        </is>
      </c>
    </row>
    <row r="11">
      <c r="A11" s="18" t="n">
        <v>7</v>
      </c>
      <c r="B11" s="18" t="inlineStr">
        <is>
          <t>İYS kayıt</t>
        </is>
      </c>
      <c r="C11" s="18" t="inlineStr">
        <is>
          <t>Ops</t>
        </is>
      </c>
      <c r="D11" s="18" t="inlineStr">
        <is>
          <t>Ağu 26</t>
        </is>
      </c>
      <c r="E11" s="18" t="n">
        <v>6000</v>
      </c>
      <c r="F11" s="18" t="inlineStr">
        <is>
          <t>P1</t>
        </is>
      </c>
      <c r="G11" s="18" t="inlineStr">
        <is>
          <t>Yasal</t>
        </is>
      </c>
    </row>
    <row r="12">
      <c r="A12" s="19" t="n">
        <v>8</v>
      </c>
      <c r="B12" s="19" t="inlineStr">
        <is>
          <t>Case study video</t>
        </is>
      </c>
      <c r="C12" s="19" t="inlineStr">
        <is>
          <t>Satış</t>
        </is>
      </c>
      <c r="D12" s="19" t="inlineStr">
        <is>
          <t>Eyl 26</t>
        </is>
      </c>
      <c r="E12" s="19" t="n">
        <v>5000</v>
      </c>
      <c r="F12" s="19" t="inlineStr">
        <is>
          <t>P1</t>
        </is>
      </c>
      <c r="G12" s="19" t="inlineStr">
        <is>
          <t>GTM</t>
        </is>
      </c>
    </row>
    <row r="13">
      <c r="A13" s="18" t="n">
        <v>9</v>
      </c>
      <c r="B13" s="18" t="inlineStr">
        <is>
          <t>2. pilot klinik</t>
        </is>
      </c>
      <c r="C13" s="18" t="inlineStr">
        <is>
          <t>Satış</t>
        </is>
      </c>
      <c r="D13" s="18" t="inlineStr">
        <is>
          <t>Eki 26</t>
        </is>
      </c>
      <c r="E13" s="18" t="n">
        <v>0</v>
      </c>
      <c r="F13" s="18" t="inlineStr">
        <is>
          <t>P2</t>
        </is>
      </c>
      <c r="G13" s="18" t="inlineStr">
        <is>
          <t>PMF</t>
        </is>
      </c>
    </row>
    <row r="14">
      <c r="A14" s="19" t="n">
        <v>10</v>
      </c>
      <c r="B14" s="19" t="inlineStr">
        <is>
          <t>Mobil responsive</t>
        </is>
      </c>
      <c r="C14" s="19" t="inlineStr">
        <is>
          <t>Dev</t>
        </is>
      </c>
      <c r="D14" s="19" t="inlineStr">
        <is>
          <t>Eki 26</t>
        </is>
      </c>
      <c r="E14" s="19" t="n">
        <v>0</v>
      </c>
      <c r="F14" s="19" t="inlineStr">
        <is>
          <t>P2</t>
        </is>
      </c>
      <c r="G14" s="19" t="inlineStr">
        <is>
          <t>UX</t>
        </is>
      </c>
    </row>
    <row r="15">
      <c r="A15" s="18" t="n">
        <v>11</v>
      </c>
      <c r="B15" s="18" t="inlineStr">
        <is>
          <t>WA Business API</t>
        </is>
      </c>
      <c r="C15" s="18" t="inlineStr">
        <is>
          <t>Teknik</t>
        </is>
      </c>
      <c r="D15" s="18" t="inlineStr">
        <is>
          <t>Kas 26</t>
        </is>
      </c>
      <c r="E15" s="18" t="n">
        <v>5000</v>
      </c>
      <c r="F15" s="18" t="inlineStr">
        <is>
          <t>P2</t>
        </is>
      </c>
      <c r="G15" s="18" t="inlineStr">
        <is>
          <t>Ölçek</t>
        </is>
      </c>
    </row>
    <row r="16">
      <c r="A16" s="19" t="n">
        <v>12</v>
      </c>
      <c r="B16" s="19" t="inlineStr">
        <is>
          <t>API v1 (Supabase read)</t>
        </is>
      </c>
      <c r="C16" s="19" t="inlineStr">
        <is>
          <t>Dev</t>
        </is>
      </c>
      <c r="D16" s="19" t="inlineStr">
        <is>
          <t>Ara 26</t>
        </is>
      </c>
      <c r="E16" s="19" t="n">
        <v>0</v>
      </c>
      <c r="F16" s="19" t="inlineStr">
        <is>
          <t>P2</t>
        </is>
      </c>
      <c r="G16" s="19" t="inlineStr">
        <is>
          <t>Mimari</t>
        </is>
      </c>
    </row>
    <row r="17">
      <c r="A17" s="18" t="n">
        <v>13</v>
      </c>
      <c r="B17" s="18" t="inlineStr">
        <is>
          <t>3. ödeyen klinik</t>
        </is>
      </c>
      <c r="C17" s="18" t="inlineStr">
        <is>
          <t>Satış</t>
        </is>
      </c>
      <c r="D17" s="18" t="inlineStr">
        <is>
          <t>Ara 26</t>
        </is>
      </c>
      <c r="E17" s="18" t="n">
        <v>0</v>
      </c>
      <c r="F17" s="18" t="inlineStr">
        <is>
          <t>P1</t>
        </is>
      </c>
      <c r="G17" s="18" t="inlineStr">
        <is>
          <t>Gelir</t>
        </is>
      </c>
    </row>
    <row r="18">
      <c r="A18" s="19" t="n">
        <v>14</v>
      </c>
      <c r="B18" s="19" t="inlineStr">
        <is>
          <t>Yedekleme otomasyon</t>
        </is>
      </c>
      <c r="C18" s="19" t="inlineStr">
        <is>
          <t>DevOps</t>
        </is>
      </c>
      <c r="D18" s="19" t="inlineStr">
        <is>
          <t>Oca 27</t>
        </is>
      </c>
      <c r="E18" s="19" t="n">
        <v>400</v>
      </c>
      <c r="F18" s="19" t="inlineStr">
        <is>
          <t>P2</t>
        </is>
      </c>
      <c r="G18" s="19" t="inlineStr">
        <is>
          <t>Risk</t>
        </is>
      </c>
    </row>
    <row r="19">
      <c r="A19" s="18" t="n">
        <v>15</v>
      </c>
      <c r="B19" s="18" t="inlineStr">
        <is>
          <t>Yıllık bütçe revizyon</t>
        </is>
      </c>
      <c r="C19" s="18" t="inlineStr">
        <is>
          <t>Yönetim</t>
        </is>
      </c>
      <c r="D19" s="18" t="inlineStr">
        <is>
          <t>Haz 27</t>
        </is>
      </c>
      <c r="E19" s="18" t="n">
        <v>0</v>
      </c>
      <c r="F19" s="49" t="inlineStr">
        <is>
          <t>P0</t>
        </is>
      </c>
      <c r="G19" s="18" t="inlineStr">
        <is>
          <t>Plan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VARSAYIMLAR &amp; SORUMLULUK REDDİ</t>
        </is>
      </c>
    </row>
    <row r="4">
      <c r="A4" s="30" t="n">
        <v>1</v>
      </c>
      <c r="B4" s="54" t="inlineStr">
        <is>
          <t>Finans modeli A-Girdiler sayfasındaki sarı hücrelere bağlıdır — değiştirince tüm tablo güncellenir.</t>
        </is>
      </c>
    </row>
    <row r="5">
      <c r="A5" s="30" t="n">
        <v>2</v>
      </c>
      <c r="B5" s="54" t="inlineStr">
        <is>
          <t>USD/TRY = 38 (Haziran 2026 tahmini). Kur artışı API maliyetini artırır.</t>
        </is>
      </c>
    </row>
    <row r="6">
      <c r="A6" s="30" t="n">
        <v>3</v>
      </c>
      <c r="B6" s="54" t="inlineStr">
        <is>
          <t>Churn %4/ay ilk yıl — iyileştirme ile %2,5'a düşürülebilir.</t>
        </is>
      </c>
    </row>
    <row r="7">
      <c r="A7" s="30" t="n">
        <v>4</v>
      </c>
      <c r="B7" s="54" t="inlineStr">
        <is>
          <t>Medident pilot ücretsiz — gelir modeline dahil değil.</t>
        </is>
      </c>
    </row>
    <row r="8">
      <c r="A8" s="30" t="n">
        <v>5</v>
      </c>
      <c r="B8" s="54" t="inlineStr">
        <is>
          <t>OpenAI ve Meta fiyatları değişkendir — API Maliyet sayfasına bakın.</t>
        </is>
      </c>
    </row>
    <row r="9">
      <c r="A9" s="30" t="n">
        <v>6</v>
      </c>
      <c r="B9" s="54" t="inlineStr">
        <is>
          <t>Yıl 1 zarar SaaS'ta normaldir; yatırım yılı olarak planlayın.</t>
        </is>
      </c>
    </row>
    <row r="10">
      <c r="A10" s="30" t="n">
        <v>7</v>
      </c>
      <c r="B10" s="54" t="inlineStr">
        <is>
          <t>Hukuki metinler avukat onayı gerektirir — bu rapor hukuki tavsiye değildir.</t>
        </is>
      </c>
    </row>
    <row r="11">
      <c r="A11" s="30" t="n">
        <v>8</v>
      </c>
      <c r="B11" s="54" t="inlineStr">
        <is>
          <t>Rakip skorları çerçeve analizidir — birincil kaynak değildir.</t>
        </is>
      </c>
    </row>
    <row r="12">
      <c r="A12" s="30" t="n">
        <v>9</v>
      </c>
      <c r="B12" s="54" t="inlineStr">
        <is>
          <t>Uzman Q&amp;A sentetik çerçeve analizidir — resmi danışmanlık yerine geçmez.</t>
        </is>
      </c>
    </row>
    <row r="13">
      <c r="A13" s="30" t="n">
        <v>10</v>
      </c>
      <c r="B13" s="54" t="inlineStr">
        <is>
          <t>VERBİS/İYS süreçleri klinik + Nefalix ortak sorumluluğundadır.</t>
        </is>
      </c>
    </row>
  </sheetData>
  <mergeCells count="11">
    <mergeCell ref="B4:F4"/>
    <mergeCell ref="B12:F12"/>
    <mergeCell ref="B7:F7"/>
    <mergeCell ref="B6:F6"/>
    <mergeCell ref="B10:F10"/>
    <mergeCell ref="B11:F11"/>
    <mergeCell ref="B5:F5"/>
    <mergeCell ref="A1:H1"/>
    <mergeCell ref="B8:F8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2026-06-19T06:43:22Z</dcterms:created>
  <dcterms:modified xsi:type="dcterms:W3CDTF">2026-06-19T06:43:22Z</dcterms:modified>
</cp:coreProperties>
</file>