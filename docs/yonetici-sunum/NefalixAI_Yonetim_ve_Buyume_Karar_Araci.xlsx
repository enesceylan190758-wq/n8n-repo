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oloji ve Kullanım" sheetId="1" state="visible" r:id="rId1"/>
    <sheet name="Özet Panel" sheetId="2" state="visible" r:id="rId2"/>
    <sheet name="Klinik Satış Teşhis Aracı" sheetId="3" state="visible" r:id="rId3"/>
    <sheet name="Paket ve Senaryo Referansı" sheetId="4" state="visible" r:id="rId4"/>
    <sheet name="Yol Haritası Referansı" sheetId="5" state="visible" r:id="rId5"/>
    <sheet name="Maliyet ve Gelir" sheetId="6" state="visible" r:id="rId6"/>
    <sheet name="Risk Referansı" sheetId="7" state="visible" r:id="rId7"/>
    <sheet name="Pilot — Medident" sheetId="8" state="visible" r:id="rId8"/>
    <sheet name="1. Diş Klinikleri" sheetId="9" state="visible" r:id="rId9"/>
    <sheet name="Toplantı Onay Listes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A2E45"/>
      <sz val="10"/>
    </font>
    <font>
      <name val="Calibri"/>
      <b val="1"/>
      <color rgb="000F2040"/>
      <sz val="11"/>
    </font>
    <font>
      <name val="Calibri"/>
      <b val="1"/>
      <color rgb="001A2E45"/>
      <sz val="10"/>
    </font>
    <font>
      <name val="Calibri"/>
      <b val="1"/>
      <color rgb="00FFFFFF"/>
      <sz val="10"/>
    </font>
    <font>
      <name val="Calibri"/>
      <b val="1"/>
      <color rgb="000000FF"/>
      <sz val="10"/>
    </font>
    <font>
      <name val="Calibri"/>
      <color rgb="001A2E45"/>
      <sz val="10"/>
    </font>
    <font>
      <name val="Calibri"/>
      <i val="1"/>
      <color rgb="001A2E45"/>
      <sz val="9"/>
    </font>
  </fonts>
  <fills count="8">
    <fill>
      <patternFill/>
    </fill>
    <fill>
      <patternFill patternType="gray125"/>
    </fill>
    <fill>
      <patternFill patternType="solid">
        <fgColor rgb="000F2040"/>
      </patternFill>
    </fill>
    <fill>
      <patternFill patternType="solid">
        <fgColor rgb="00E8F4F8"/>
      </patternFill>
    </fill>
    <fill>
      <patternFill patternType="solid">
        <fgColor rgb="00F5F7FA"/>
      </patternFill>
    </fill>
    <fill>
      <patternFill patternType="solid">
        <fgColor rgb="00E8F8EE"/>
      </patternFill>
    </fill>
    <fill>
      <patternFill patternType="solid">
        <fgColor rgb="00FFF6E6"/>
      </patternFill>
    </fill>
    <fill>
      <patternFill patternType="solid">
        <fgColor rgb="00FDE8E8"/>
      </patternFill>
    </fill>
  </fills>
  <borders count="5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0" fillId="0" borderId="4" pivotButton="0" quotePrefix="0" xfId="0"/>
    <xf numFmtId="0" fontId="6" fillId="6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top" wrapText="1"/>
    </xf>
    <xf numFmtId="0" fontId="7" fillId="0" borderId="0" applyAlignment="1" pivotButton="0" quotePrefix="0" xfId="0">
      <alignment wrapText="1"/>
    </xf>
    <xf numFmtId="0" fontId="0" fillId="5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  <col width="3" customWidth="1" min="4" max="4"/>
  </cols>
  <sheetData>
    <row r="2" ht="28" customHeight="1">
      <c r="B2" s="1" t="inlineStr">
        <is>
          <t>NEFALIXAI — YÖNETİM VE BÜYÜME KARAR ARACI</t>
        </is>
      </c>
    </row>
    <row r="3" ht="32" customHeight="1">
      <c r="B3" s="2" t="inlineStr">
        <is>
          <t>Yönetici sunumu, satış teşhisi, maliyet-gelir ve İstanbul hedef portföyü — tek dosyada</t>
        </is>
      </c>
    </row>
    <row r="5" ht="22" customHeight="1">
      <c r="B5" s="3" t="inlineStr">
        <is>
          <t>1. BU DOSYA NE İŞE YARAR?</t>
        </is>
      </c>
    </row>
    <row r="6" ht="28" customHeight="1">
      <c r="B6" s="4" t="inlineStr">
        <is>
          <t>Amaç</t>
        </is>
      </c>
      <c r="C6" s="5" t="inlineStr">
        <is>
          <t>Yöneticilerin teknik bilgi olmadan karar vermesi: hangi paketi satacağız, ne zaman, kime, ne kadar yatırım.</t>
        </is>
      </c>
    </row>
    <row r="7" ht="28" customHeight="1">
      <c r="B7" s="4" t="inlineStr">
        <is>
          <t>Kapsam</t>
        </is>
      </c>
      <c r="C7" s="5" t="inlineStr">
        <is>
          <t>Pilot (Medident) durumu, 12 aylık yol haritası, maliyet-gelir, riskler, İstanbul diş kliniği hedef listesi.</t>
        </is>
      </c>
    </row>
    <row r="9" ht="22" customHeight="1">
      <c r="B9" s="3" t="inlineStr">
        <is>
          <t>2. SAYFA REHBERİ</t>
        </is>
      </c>
    </row>
    <row r="10" ht="20" customHeight="1">
      <c r="B10" s="4" t="inlineStr">
        <is>
          <t>Metodoloji ve Kullanım</t>
        </is>
      </c>
      <c r="C10" s="5" t="inlineStr">
        <is>
          <t>Bu sayfa — nasıl okunur.</t>
        </is>
      </c>
    </row>
    <row r="11" ht="20" customHeight="1">
      <c r="B11" s="4" t="inlineStr">
        <is>
          <t>Özet Panel</t>
        </is>
      </c>
      <c r="C11" s="5" t="inlineStr">
        <is>
          <t>Canlı sayılar — diğer sayfalardan otomatik toplanır.</t>
        </is>
      </c>
    </row>
    <row r="12" ht="28" customHeight="1">
      <c r="B12" s="4" t="inlineStr">
        <is>
          <t>Klinik Satış Teşhis Aracı</t>
        </is>
      </c>
      <c r="C12" s="5" t="inlineStr">
        <is>
          <t>3 soru sor → hangi paket, hangi öncelik çıksın (açılır liste).</t>
        </is>
      </c>
    </row>
    <row r="13" ht="20" customHeight="1">
      <c r="B13" s="4" t="inlineStr">
        <is>
          <t>Paket ve Senaryo Referansı</t>
        </is>
      </c>
      <c r="C13" s="5" t="inlineStr">
        <is>
          <t>Teşhis sonucunun detaylı açıklaması.</t>
        </is>
      </c>
    </row>
    <row r="14" ht="20" customHeight="1">
      <c r="B14" s="4" t="inlineStr">
        <is>
          <t>Yol Haritası Referansı</t>
        </is>
      </c>
      <c r="C14" s="5" t="inlineStr">
        <is>
          <t>Ay ay ne yapılacak — teknik jargon yok.</t>
        </is>
      </c>
    </row>
    <row r="15" ht="20" customHeight="1">
      <c r="B15" s="4" t="inlineStr">
        <is>
          <t>Maliyet ve Gelir</t>
        </is>
      </c>
      <c r="C15" s="5" t="inlineStr">
        <is>
          <t>Aylık giderler ve 4 gelir senaryosu.</t>
        </is>
      </c>
    </row>
    <row r="16" ht="20" customHeight="1">
      <c r="B16" s="4" t="inlineStr">
        <is>
          <t>Risk Referansı</t>
        </is>
      </c>
      <c r="C16" s="5" t="inlineStr">
        <is>
          <t>Ne ters gidebilir, ne yapıyoruz.</t>
        </is>
      </c>
    </row>
    <row r="17" ht="20" customHeight="1">
      <c r="B17" s="4" t="inlineStr">
        <is>
          <t>Pilot — Medident</t>
        </is>
      </c>
      <c r="C17" s="5" t="inlineStr">
        <is>
          <t>İlk müşteri skor kartı.</t>
        </is>
      </c>
    </row>
    <row r="18" ht="20" customHeight="1">
      <c r="B18" s="4" t="inlineStr">
        <is>
          <t>1. Diş Klinikleri</t>
        </is>
      </c>
      <c r="C18" s="5" t="inlineStr">
        <is>
          <t>İstanbul hedef listesi — satış önceliklendirme.</t>
        </is>
      </c>
    </row>
    <row r="19" ht="20" customHeight="1">
      <c r="B19" s="4" t="inlineStr">
        <is>
          <t>Toplantı Onay Listesi</t>
        </is>
      </c>
      <c r="C19" s="5" t="inlineStr">
        <is>
          <t>Yönetim kurulu EVET/HAYIR.</t>
        </is>
      </c>
    </row>
    <row r="21" ht="22" customHeight="1">
      <c r="B21" s="3" t="inlineStr">
        <is>
          <t>3. NASIL KULLANILIR (5 DAKİKA)</t>
        </is>
      </c>
    </row>
    <row r="22" ht="20" customHeight="1">
      <c r="B22" s="4" t="inlineStr">
        <is>
          <t>Adım 1</t>
        </is>
      </c>
      <c r="C22" s="5" t="inlineStr">
        <is>
          <t>Özet Panel'i aç — genel tabloyu gör.</t>
        </is>
      </c>
    </row>
    <row r="23" ht="28" customHeight="1">
      <c r="B23" s="4" t="inlineStr">
        <is>
          <t>Adım 2</t>
        </is>
      </c>
      <c r="C23" s="5" t="inlineStr">
        <is>
          <t>Klinik Satış Teşhis Aracı'nda 3 soruyu doldur (açılır listeler).</t>
        </is>
      </c>
    </row>
    <row r="24" ht="20" customHeight="1">
      <c r="B24" s="4" t="inlineStr">
        <is>
          <t>Adım 3</t>
        </is>
      </c>
      <c r="C24" s="5" t="inlineStr">
        <is>
          <t>Çıkan paket önerisini Paket ve Senaryo Referansı'nda oku.</t>
        </is>
      </c>
    </row>
    <row r="25" ht="20" customHeight="1">
      <c r="B25" s="4" t="inlineStr">
        <is>
          <t>Adım 4</t>
        </is>
      </c>
      <c r="C25" s="5" t="inlineStr">
        <is>
          <t>Toplantı Onay Listesi'nde kararları işaretle.</t>
        </is>
      </c>
    </row>
    <row r="27" ht="22" customHeight="1">
      <c r="B27" s="3" t="inlineStr">
        <is>
          <t>4. TEMEL İLKELER (YÖNETİCİ DİLİ)</t>
        </is>
      </c>
    </row>
    <row r="28" ht="20" customHeight="1">
      <c r="B28" s="4" t="inlineStr">
        <is>
          <t>Veri Türkiye'de</t>
        </is>
      </c>
      <c r="C28" s="5" t="inlineStr">
        <is>
          <t>Hasta bilgisi yurt dışına gitmemeli — sunucu İstanbul.</t>
        </is>
      </c>
    </row>
    <row r="29" ht="20" customHeight="1">
      <c r="B29" s="4" t="inlineStr">
        <is>
          <t>Önce çalışsın</t>
        </is>
      </c>
      <c r="C29" s="5" t="inlineStr">
        <is>
          <t>Güzel arayüz sonra — önce Medident günlük kullanmalı.</t>
        </is>
      </c>
    </row>
    <row r="30" ht="20" customHeight="1">
      <c r="B30" s="4" t="inlineStr">
        <is>
          <t>Yıl 1 yatırım</t>
        </is>
      </c>
      <c r="C30" s="5" t="inlineStr">
        <is>
          <t>İlk yıl kâr beklenmez; 8–10 klinikte anlamlı gelir.</t>
        </is>
      </c>
    </row>
    <row r="31" ht="20" customHeight="1">
      <c r="B31" s="4" t="inlineStr">
        <is>
          <t>Fiyat önerisi</t>
        </is>
      </c>
      <c r="C31" s="5" t="inlineStr">
        <is>
          <t>Orta paket 7.990 ₺/ay + kurulum 14.900 ₺.</t>
        </is>
      </c>
    </row>
  </sheetData>
  <mergeCells count="6">
    <mergeCell ref="B21:C21"/>
    <mergeCell ref="B2:C2"/>
    <mergeCell ref="B3:C3"/>
    <mergeCell ref="B5:C5"/>
    <mergeCell ref="B27:C2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6" customWidth="1" min="4" max="4"/>
    <col width="3" customWidth="1" min="5" max="5"/>
    <col width="22" customWidth="1" min="6" max="6"/>
    <col width="14" customWidth="1" min="7" max="7"/>
  </cols>
  <sheetData>
    <row r="2" ht="28" customHeight="1">
      <c r="B2" s="1" t="inlineStr">
        <is>
          <t>NEFALIXAI — YÖNETİM ÖZET PANELİ</t>
        </is>
      </c>
    </row>
    <row r="3" ht="32" customHeight="1">
      <c r="B3" s="2" t="inlineStr">
        <is>
          <t>Tüm sayfalardan canlı toplanan sayılar — sunumda ilk açılacak sayfa</t>
        </is>
      </c>
    </row>
    <row r="5" ht="22" customHeight="1">
      <c r="B5" s="3" t="inlineStr">
        <is>
          <t>PORTFÖY ÖZETİ</t>
        </is>
      </c>
    </row>
    <row r="6" ht="36" customHeight="1">
      <c r="B6" s="6" t="inlineStr">
        <is>
          <t>Gösterge</t>
        </is>
      </c>
      <c r="C6" s="6" t="inlineStr">
        <is>
          <t>Değer</t>
        </is>
      </c>
      <c r="D6" s="6" t="inlineStr">
        <is>
          <t>Açıklama</t>
        </is>
      </c>
    </row>
    <row r="7">
      <c r="B7" s="4" t="inlineStr">
        <is>
          <t>Hedef diş kliniği (listedeki)</t>
        </is>
      </c>
      <c r="C7" s="7">
        <f>COUNTA('1. Diş Klinikleri'!B7:B40)</f>
        <v/>
      </c>
      <c r="D7" s="5" t="inlineStr">
        <is>
          <t>İstanbul portföy</t>
        </is>
      </c>
    </row>
    <row r="8">
      <c r="B8" s="4" t="inlineStr">
        <is>
          <t>Yüksek öncelik (skor ≥4)</t>
        </is>
      </c>
      <c r="C8" s="8">
        <f>COUNTIF('1. Diş Klinikleri'!I7:I40,"&gt;=4")</f>
        <v/>
      </c>
      <c r="D8" s="5" t="inlineStr">
        <is>
          <t>Önce aranacaklar</t>
        </is>
      </c>
    </row>
    <row r="9">
      <c r="B9" s="4" t="inlineStr">
        <is>
          <t>Pilot klinik</t>
        </is>
      </c>
      <c r="C9" s="7" t="inlineStr">
        <is>
          <t>Medident İstanbul</t>
        </is>
      </c>
      <c r="D9" s="5" t="inlineStr">
        <is>
          <t>Aktif pilot</t>
        </is>
      </c>
    </row>
    <row r="10">
      <c r="B10" s="4" t="inlineStr">
        <is>
          <t>Önerilen aylık paket</t>
        </is>
      </c>
      <c r="C10" s="8" t="inlineStr">
        <is>
          <t>7.990 ₺</t>
        </is>
      </c>
      <c r="D10" s="5" t="inlineStr">
        <is>
          <t>Profesyonel</t>
        </is>
      </c>
    </row>
    <row r="11">
      <c r="B11" s="4" t="inlineStr">
        <is>
          <t>12 ay hedef klinik</t>
        </is>
      </c>
      <c r="C11" s="7" t="inlineStr">
        <is>
          <t>8</t>
        </is>
      </c>
      <c r="D11" s="5" t="inlineStr">
        <is>
          <t>Gerçekçi senaryo</t>
        </is>
      </c>
    </row>
    <row r="12">
      <c r="B12" s="4" t="inlineStr">
        <is>
          <t>12 ay hedef aylık gelir</t>
        </is>
      </c>
      <c r="C12" s="8" t="inlineStr">
        <is>
          <t>63.920 ₺</t>
        </is>
      </c>
      <c r="D12" s="5" t="inlineStr">
        <is>
          <t>8 × 7.990</t>
        </is>
      </c>
    </row>
    <row r="13">
      <c r="B13" s="4" t="inlineStr">
        <is>
          <t>Pilot aylık maliyet (yazılımcı hariç)</t>
        </is>
      </c>
      <c r="C13" s="7" t="inlineStr">
        <is>
          <t>~6.000 ₺</t>
        </is>
      </c>
      <c r="D13" s="5" t="inlineStr">
        <is>
          <t>Maliyet sayfası</t>
        </is>
      </c>
    </row>
    <row r="14">
      <c r="B14" s="4" t="inlineStr">
        <is>
          <t>Satışa hazır aylık maliyet</t>
        </is>
      </c>
      <c r="C14" s="8" t="inlineStr">
        <is>
          <t>~82.000 ₺</t>
        </is>
      </c>
      <c r="D14" s="5" t="inlineStr">
        <is>
          <t>Yazılımcı dahil</t>
        </is>
      </c>
    </row>
    <row r="16" ht="22" customHeight="1">
      <c r="B16" s="3" t="inlineStr">
        <is>
          <t>GELİR SENARYOLARI (YIL 1)</t>
        </is>
      </c>
    </row>
    <row r="17" ht="36" customHeight="1">
      <c r="B17" s="6" t="inlineStr">
        <is>
          <t>Senaryo</t>
        </is>
      </c>
      <c r="C17" s="6" t="inlineStr">
        <is>
          <t>Klinik</t>
        </is>
      </c>
      <c r="D17" s="6" t="inlineStr">
        <is>
          <t>Yıllık gelir (₺)</t>
        </is>
      </c>
    </row>
    <row r="18">
      <c r="B18" s="4" t="inlineStr">
        <is>
          <t>Kötü</t>
        </is>
      </c>
      <c r="C18" s="9" t="n">
        <v>3</v>
      </c>
      <c r="D18" s="9" t="n">
        <v>216000</v>
      </c>
    </row>
    <row r="19">
      <c r="B19" s="10" t="inlineStr">
        <is>
          <t>Gerçekçi ★</t>
        </is>
      </c>
      <c r="C19" s="9" t="n">
        <v>8</v>
      </c>
      <c r="D19" s="9" t="n">
        <v>718000</v>
      </c>
    </row>
    <row r="20">
      <c r="B20" s="4" t="inlineStr">
        <is>
          <t>İyi</t>
        </is>
      </c>
      <c r="C20" s="9" t="n">
        <v>15</v>
      </c>
      <c r="D20" s="9" t="n">
        <v>1440000</v>
      </c>
    </row>
    <row r="21">
      <c r="B21" s="4" t="inlineStr">
        <is>
          <t>Çok iyi</t>
        </is>
      </c>
      <c r="C21" s="9" t="n">
        <v>25</v>
      </c>
      <c r="D21" s="9" t="n">
        <v>2550000</v>
      </c>
    </row>
    <row r="23" ht="22" customHeight="1">
      <c r="B23" s="3" t="inlineStr">
        <is>
          <t>SUNUCU / PİLOT DURUMU</t>
        </is>
      </c>
    </row>
    <row r="24">
      <c r="B24" s="4" t="inlineStr">
        <is>
          <t>VPS durumu</t>
        </is>
      </c>
      <c r="C24" s="5" t="inlineStr">
        <is>
          <t>⏳ Kimlik doğrulama — destek açık</t>
        </is>
      </c>
      <c r="D24" s="11" t="n"/>
    </row>
    <row r="25">
      <c r="B25" s="4" t="inlineStr">
        <is>
          <t>Panel adresi</t>
        </is>
      </c>
      <c r="C25" s="5" t="inlineStr">
        <is>
          <t>nefalixai.com/dashboard</t>
        </is>
      </c>
      <c r="D25" s="11" t="n"/>
    </row>
    <row r="26">
      <c r="B26" s="4" t="inlineStr">
        <is>
          <t>Sonraki adım</t>
        </is>
      </c>
      <c r="C26" s="5" t="inlineStr">
        <is>
          <t>Sunucu açılınca Medident eğitimi</t>
        </is>
      </c>
      <c r="D26" s="11" t="n"/>
    </row>
  </sheetData>
  <mergeCells count="8">
    <mergeCell ref="B3:G3"/>
    <mergeCell ref="B2:G2"/>
    <mergeCell ref="B16:G16"/>
    <mergeCell ref="C24:D24"/>
    <mergeCell ref="B5:G5"/>
    <mergeCell ref="C25:D25"/>
    <mergeCell ref="B23:G23"/>
    <mergeCell ref="C26:D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36" customWidth="1" min="3" max="3"/>
    <col width="28" customWidth="1" min="4" max="4"/>
  </cols>
  <sheetData>
    <row r="2" ht="28" customHeight="1">
      <c r="B2" s="1" t="inlineStr">
        <is>
          <t>NEFALIXAI — KLİNİK SATIŞ TEŞHİS ARACI</t>
        </is>
      </c>
    </row>
    <row r="3" ht="32" customHeight="1">
      <c r="B3" s="2" t="inlineStr">
        <is>
          <t>Satış görüşmesinde 3 soruyu sorun, C sütunundan seçin — sonuç otomatik gelir</t>
        </is>
      </c>
    </row>
    <row r="5" ht="22" customHeight="1">
      <c r="B5" s="3" t="inlineStr">
        <is>
          <t>ADIM 1 — KLİNİK BİLGİLERİ</t>
        </is>
      </c>
    </row>
    <row r="6">
      <c r="B6" s="4" t="inlineStr">
        <is>
          <t>Klinik Adı</t>
        </is>
      </c>
      <c r="C6" s="12" t="inlineStr"/>
    </row>
    <row r="7">
      <c r="B7" s="4" t="inlineStr">
        <is>
          <t>Görüşme Tarihi</t>
        </is>
      </c>
      <c r="C7" s="12" t="inlineStr">
        <is>
          <t>18.06.2026</t>
        </is>
      </c>
    </row>
    <row r="9" ht="22" customHeight="1">
      <c r="B9" s="3" t="inlineStr">
        <is>
          <t>ADIM 2 — ÜÇ SORUYU SORUN, CEVABI SEÇİN</t>
        </is>
      </c>
    </row>
    <row r="10">
      <c r="B10" s="4" t="inlineStr">
        <is>
          <t>SORU 1 — Klinik ölçeği</t>
        </is>
      </c>
      <c r="C10" s="12" t="inlineStr"/>
      <c r="D10" s="13" t="inlineStr">
        <is>
          <t>"Kaç hekiminiz var, tek şube mi?"</t>
        </is>
      </c>
    </row>
    <row r="11">
      <c r="B11" s="4" t="inlineStr">
        <is>
          <t>SORU 2 — WhatsApp yoğunluğu</t>
        </is>
      </c>
      <c r="C11" s="12" t="inlineStr"/>
      <c r="D11" s="13" t="inlineStr">
        <is>
          <t>"Günde kaç WhatsApp mesajı alıyorsunuz?"</t>
        </is>
      </c>
    </row>
    <row r="12">
      <c r="B12" s="4" t="inlineStr">
        <is>
          <t>SORU 3 — En acil ihtiyaç</t>
        </is>
      </c>
      <c r="C12" s="12" t="inlineStr"/>
      <c r="D12" s="13" t="inlineStr">
        <is>
          <t>"En çok neyi çözmek istiyorsunuz?"</t>
        </is>
      </c>
    </row>
    <row r="14" ht="22" customHeight="1">
      <c r="B14" s="3" t="inlineStr">
        <is>
          <t>ADIM 3 — SONUÇ</t>
        </is>
      </c>
    </row>
    <row r="15" ht="48" customHeight="1">
      <c r="B15" s="4" t="inlineStr">
        <is>
          <t>Önerilen paket ve yaklaşım</t>
        </is>
      </c>
      <c r="C15" s="14">
        <f>IF(OR(C10="",C11="",C12=""),"Önce 3 soruyu da cevaplayın",IF(C12="Hepsi — tam paket","SENARYO P — Profesyonel paket (7.990 ₺/ay) + kurulum 14.900 ₺",IF(C12="Google yorum ve itibar","SENARYO G — Profesyonel (yorum modülü öncelikli)",IF(AND(C10="Tek hekim",C11="Az (günde 10 altı)"),"SENARYO S — Başlangıç paketi (4.990 ₺/ay)",IF(C10="Büyük / çok şube","SENARYO K — Kurumsal paket (14.990 ₺/ay) — özel teklif hazırlayın","SENARYO P — Profesyonel paket (7.990 ₺/ay)")))))</f>
        <v/>
      </c>
      <c r="D15" s="13" t="inlineStr">
        <is>
          <t>Detay için 'Paket ve Senaryo Referansı' sayfasına bakın</t>
        </is>
      </c>
    </row>
    <row r="16">
      <c r="B16" s="4" t="inlineStr">
        <is>
          <t>Tahmini aylık gelir (bizim)</t>
        </is>
      </c>
      <c r="C16" s="15">
        <f>IF(C15="","",IF(ISNUMBER(SEARCH("4.990",C15)),4990,IF(ISNUMBER(SEARCH("14.990",C15)),14990,7990)))</f>
        <v/>
      </c>
    </row>
    <row r="17">
      <c r="B17" s="4" t="inlineStr">
        <is>
          <t>Kurulum ücreti önerisi</t>
        </is>
      </c>
      <c r="C17" s="15">
        <f>IF(C15="","",IF(ISNUMBER(SEARCH("4.990",C15)),9900,IF(ISNUMBER(SEARCH("14.990",C15)),29900,14900)))</f>
        <v/>
      </c>
    </row>
    <row r="19" ht="22" customHeight="1">
      <c r="B19" s="3" t="inlineStr">
        <is>
          <t>NASIL KULLANILIR</t>
        </is>
      </c>
    </row>
    <row r="20">
      <c r="B20" s="16" t="inlineStr">
        <is>
          <t>1) Klinik adını ve tarihi girin.
2) Görüşmede 3 soruyu sorun — cevapları C sütunundan seçin.
3) ADIM 3'te paket önerisi çıkar — referans sayfasında detayı okuyun.
4) Toplantı Onay Listesi'ne geçin.</t>
        </is>
      </c>
    </row>
    <row r="21"/>
    <row r="22"/>
  </sheetData>
  <mergeCells count="7">
    <mergeCell ref="B3:D3"/>
    <mergeCell ref="B5:D5"/>
    <mergeCell ref="B14:D14"/>
    <mergeCell ref="B19:D19"/>
    <mergeCell ref="B9:D9"/>
    <mergeCell ref="B20:D22"/>
    <mergeCell ref="B2:D2"/>
  </mergeCells>
  <dataValidations count="3">
    <dataValidation sqref="C10" showDropDown="0" showInputMessage="0" showErrorMessage="0" allowBlank="1" errorTitle="Geçersiz seçim" error="Listeden seçin" type="list">
      <formula1>"Tek hekim,Tek şube orta (2-5 hekim),Büyük / çok şube"</formula1>
    </dataValidation>
    <dataValidation sqref="C11" showDropDown="0" showInputMessage="0" showErrorMessage="0" allowBlank="1" errorTitle="Geçersiz seçim" error="Listeden seçin" type="list">
      <formula1>"Az (günde 10 altı),Orta (10-30),Yoğun (30 üzeri)"</formula1>
    </dataValidation>
    <dataValidation sqref="C12" showDropDown="0" showInputMessage="0" showErrorMessage="0" allowBlank="1" errorTitle="Geçersiz seçim" error="Listeden seçin" type="list">
      <formula1>"Mesaj kaçırma,Google yorum ve itibar,Hepsi — tam paket"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2" customWidth="1" min="3" max="3"/>
    <col width="28" customWidth="1" min="4" max="4"/>
    <col width="18" customWidth="1" min="5" max="5"/>
    <col width="12" customWidth="1" min="6" max="6"/>
    <col width="28" customWidth="1" min="7" max="7"/>
    <col width="14" customWidth="1" min="8" max="8"/>
  </cols>
  <sheetData>
    <row r="2" ht="28" customHeight="1">
      <c r="B2" s="1" t="inlineStr">
        <is>
          <t>PAKET VE SENARYO — DETAYLI REFERANS</t>
        </is>
      </c>
    </row>
    <row r="3" ht="32" customHeight="1">
      <c r="B3" s="2" t="inlineStr">
        <is>
          <t>Klinik Satış Teşhis Aracı'nda çıkan senaryonun tam açıklaması</t>
        </is>
      </c>
    </row>
    <row r="5" ht="36" customHeight="1">
      <c r="B5" s="6" t="inlineStr">
        <is>
          <t>Kod</t>
        </is>
      </c>
      <c r="C5" s="6" t="inlineStr">
        <is>
          <t>Klinik profili</t>
        </is>
      </c>
      <c r="D5" s="6" t="inlineStr">
        <is>
          <t>Önerilen paket</t>
        </is>
      </c>
      <c r="E5" s="6" t="inlineStr">
        <is>
          <t>Satış cümlesi</t>
        </is>
      </c>
      <c r="F5" s="6" t="inlineStr">
        <is>
          <t>Aylık (₺)</t>
        </is>
      </c>
      <c r="G5" s="6" t="inlineStr">
        <is>
          <t>Klinikle anlaşma cümlesi</t>
        </is>
      </c>
      <c r="H5" s="6" t="inlineStr">
        <is>
          <t>İlk modül</t>
        </is>
      </c>
    </row>
    <row r="6">
      <c r="B6" s="5" t="inlineStr">
        <is>
          <t>S</t>
        </is>
      </c>
      <c r="C6" s="5" t="inlineStr">
        <is>
          <t>Tek hekim · az mesaj</t>
        </is>
      </c>
      <c r="D6" s="5" t="inlineStr">
        <is>
          <t>Başlangıç 4.990 ₺</t>
        </is>
      </c>
      <c r="E6" s="5" t="inlineStr">
        <is>
          <t>Küçük ama düzenli iletişim</t>
        </is>
      </c>
      <c r="F6" s="5" t="n">
        <v>4990</v>
      </c>
      <c r="G6" s="5" t="inlineStr">
        <is>
          <t>"WhatsApp ve site sohbetini tek yerden yönetin — ayda 5 bin ₺'den başlar."</t>
        </is>
      </c>
      <c r="H6" s="5" t="inlineStr">
        <is>
          <t>Inbox + chat</t>
        </is>
      </c>
    </row>
    <row r="7">
      <c r="B7" s="17" t="inlineStr">
        <is>
          <t>P</t>
        </is>
      </c>
      <c r="C7" s="17" t="inlineStr">
        <is>
          <t>Orta klinik · orta/yüksek mesaj</t>
        </is>
      </c>
      <c r="D7" s="17" t="inlineStr">
        <is>
          <t>Profesyonel 7.990 ₺</t>
        </is>
      </c>
      <c r="E7" s="17" t="inlineStr">
        <is>
          <t>Ana hedef paket</t>
        </is>
      </c>
      <c r="F7" s="17" t="n">
        <v>7990</v>
      </c>
      <c r="G7" s="17" t="inlineStr">
        <is>
          <t>"Bir implant randevusu programı 2 yıl öder. Mesaj kaçırmaz, yorumları yönetirsiniz."</t>
        </is>
      </c>
      <c r="H7" s="17" t="inlineStr">
        <is>
          <t>Inbox + Google + NPS</t>
        </is>
      </c>
    </row>
    <row r="8">
      <c r="B8" s="5" t="inlineStr">
        <is>
          <t>G</t>
        </is>
      </c>
      <c r="C8" s="5" t="inlineStr">
        <is>
          <t>Yorum/itibar öncelikli</t>
        </is>
      </c>
      <c r="D8" s="5" t="inlineStr">
        <is>
          <t>Profesyonel 7.990 ₺</t>
        </is>
      </c>
      <c r="E8" s="5" t="inlineStr">
        <is>
          <t>Google odaklı satış</t>
        </is>
      </c>
      <c r="F8" s="5" t="n">
        <v>7990</v>
      </c>
      <c r="G8" s="5" t="inlineStr">
        <is>
          <t>"Google puanınızı yükseltmek için yapay zeka taslak + onay paneli."</t>
        </is>
      </c>
      <c r="H8" s="5" t="inlineStr">
        <is>
          <t>Google yorum</t>
        </is>
      </c>
    </row>
    <row r="9">
      <c r="B9" s="13" t="inlineStr">
        <is>
          <t>K</t>
        </is>
      </c>
      <c r="C9" s="13" t="inlineStr">
        <is>
          <t>Büyük / çok şube</t>
        </is>
      </c>
      <c r="D9" s="13" t="inlineStr">
        <is>
          <t>Kurumsal 14.990 ₺</t>
        </is>
      </c>
      <c r="E9" s="13" t="inlineStr">
        <is>
          <t>Kurumsal teklif</t>
        </is>
      </c>
      <c r="F9" s="13" t="n">
        <v>14990</v>
      </c>
      <c r="G9" s="13" t="inlineStr">
        <is>
          <t>"Tüm şubelerinizi tek panelden yönetin — özel eğitim ve destek."</t>
        </is>
      </c>
      <c r="H9" s="13" t="inlineStr">
        <is>
          <t>Çoklu klinik + SLA</t>
        </is>
      </c>
    </row>
    <row r="10">
      <c r="B10" s="5" t="inlineStr">
        <is>
          <t>H</t>
        </is>
      </c>
      <c r="C10" s="5" t="inlineStr">
        <is>
          <t>Hiç dijital takip yok</t>
        </is>
      </c>
      <c r="D10" s="5" t="inlineStr">
        <is>
          <t>Profesyonel 7.990 ₺</t>
        </is>
      </c>
      <c r="E10" s="5" t="inlineStr">
        <is>
          <t>En kolay satış</t>
        </is>
      </c>
      <c r="F10" s="5" t="n">
        <v>7990</v>
      </c>
      <c r="G10" s="5" t="inlineStr">
        <is>
          <t>"Şu an hiç takip etmiyorsunuz — biz sıfırdan kurarız, siz sadece onaylarsınız."</t>
        </is>
      </c>
      <c r="H10" s="5" t="inlineStr">
        <is>
          <t>Tam kurulum</t>
        </is>
      </c>
    </row>
    <row r="12" ht="22" customHeight="1">
      <c r="B12" s="3" t="inlineStr">
        <is>
          <t>PAKET KARŞILAŞTIRMA</t>
        </is>
      </c>
    </row>
    <row r="13" ht="36" customHeight="1">
      <c r="B13" s="6" t="inlineStr">
        <is>
          <t>Özellik</t>
        </is>
      </c>
      <c r="C13" s="6" t="inlineStr">
        <is>
          <t>Başlangıç</t>
        </is>
      </c>
      <c r="D13" s="6" t="inlineStr">
        <is>
          <t>Profesyonel ★</t>
        </is>
      </c>
      <c r="E13" s="6" t="inlineStr">
        <is>
          <t>Kurumsal</t>
        </is>
      </c>
    </row>
    <row r="14">
      <c r="B14" s="5" t="inlineStr">
        <is>
          <t>WhatsApp gelen kutusu</t>
        </is>
      </c>
      <c r="C14" s="9" t="inlineStr">
        <is>
          <t>✓</t>
        </is>
      </c>
      <c r="D14" s="9" t="inlineStr">
        <is>
          <t>✓</t>
        </is>
      </c>
      <c r="E14" s="9" t="inlineStr">
        <is>
          <t>✓</t>
        </is>
      </c>
    </row>
    <row r="15">
      <c r="B15" s="5" t="inlineStr">
        <is>
          <t>Yapay zeka taslak yanıt</t>
        </is>
      </c>
      <c r="C15" s="9" t="inlineStr">
        <is>
          <t>✓</t>
        </is>
      </c>
      <c r="D15" s="9" t="inlineStr">
        <is>
          <t>✓</t>
        </is>
      </c>
      <c r="E15" s="9" t="inlineStr">
        <is>
          <t>✓</t>
        </is>
      </c>
    </row>
    <row r="16">
      <c r="B16" s="5" t="inlineStr">
        <is>
          <t>Google yorum analizi</t>
        </is>
      </c>
      <c r="C16" s="9" t="inlineStr">
        <is>
          <t>—</t>
        </is>
      </c>
      <c r="D16" s="9" t="inlineStr">
        <is>
          <t>✓</t>
        </is>
      </c>
      <c r="E16" s="9" t="inlineStr">
        <is>
          <t>✓</t>
        </is>
      </c>
    </row>
    <row r="17">
      <c r="B17" s="5" t="inlineStr">
        <is>
          <t>Hasta memnuniyeti (NPS)</t>
        </is>
      </c>
      <c r="C17" s="9" t="inlineStr">
        <is>
          <t>—</t>
        </is>
      </c>
      <c r="D17" s="9" t="inlineStr">
        <is>
          <t>✓</t>
        </is>
      </c>
      <c r="E17" s="9" t="inlineStr">
        <is>
          <t>✓</t>
        </is>
      </c>
    </row>
    <row r="18">
      <c r="B18" s="5" t="inlineStr">
        <is>
          <t>İtibar takibi</t>
        </is>
      </c>
      <c r="C18" s="9" t="inlineStr">
        <is>
          <t>—</t>
        </is>
      </c>
      <c r="D18" s="9" t="inlineStr">
        <is>
          <t>✓</t>
        </is>
      </c>
      <c r="E18" s="9" t="inlineStr">
        <is>
          <t>✓</t>
        </is>
      </c>
    </row>
    <row r="19">
      <c r="B19" s="5" t="inlineStr">
        <is>
          <t>Geri çağırma</t>
        </is>
      </c>
      <c r="C19" s="9" t="inlineStr">
        <is>
          <t>—</t>
        </is>
      </c>
      <c r="D19" s="9" t="inlineStr">
        <is>
          <t>✓</t>
        </is>
      </c>
      <c r="E19" s="9" t="inlineStr">
        <is>
          <t>✓</t>
        </is>
      </c>
    </row>
    <row r="20">
      <c r="B20" s="5" t="inlineStr">
        <is>
          <t>Çoklu şube</t>
        </is>
      </c>
      <c r="C20" s="9" t="inlineStr">
        <is>
          <t>—</t>
        </is>
      </c>
      <c r="D20" s="9" t="inlineStr">
        <is>
          <t>—</t>
        </is>
      </c>
      <c r="E20" s="9" t="inlineStr">
        <is>
          <t>✓</t>
        </is>
      </c>
    </row>
  </sheetData>
  <mergeCells count="3">
    <mergeCell ref="B3:H3"/>
    <mergeCell ref="B2:H2"/>
    <mergeCell ref="B12:H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0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28" customWidth="1" min="4" max="4"/>
    <col width="12" customWidth="1" min="5" max="5"/>
    <col width="28" customWidth="1" min="6" max="6"/>
  </cols>
  <sheetData>
    <row r="2" ht="28" customHeight="1">
      <c r="B2" s="1" t="inlineStr">
        <is>
          <t>YOL HARİTASI — DETAYLI REFERANS</t>
        </is>
      </c>
    </row>
    <row r="3" ht="32" customHeight="1">
      <c r="B3" s="2" t="inlineStr">
        <is>
          <t>Yöneticiler için — teknik terim yok</t>
        </is>
      </c>
    </row>
    <row r="5" ht="36" customHeight="1">
      <c r="B5" s="6" t="inlineStr">
        <is>
          <t>Dönem</t>
        </is>
      </c>
      <c r="C5" s="6" t="inlineStr">
        <is>
          <t>Klinik ne görür?</t>
        </is>
      </c>
      <c r="D5" s="6" t="inlineStr">
        <is>
          <t>Biz ne yaparız?</t>
        </is>
      </c>
      <c r="E5" s="6" t="inlineStr">
        <is>
          <t>Harcama</t>
        </is>
      </c>
      <c r="F5" s="6" t="inlineStr">
        <is>
          <t>Bitti sayılır eğer…</t>
        </is>
      </c>
    </row>
    <row r="6">
      <c r="B6" s="5" t="inlineStr">
        <is>
          <t>Haz 2026</t>
        </is>
      </c>
      <c r="C6" s="5" t="inlineStr">
        <is>
          <t>Panel açılır, veriler gelir</t>
        </is>
      </c>
      <c r="D6" s="5" t="inlineStr">
        <is>
          <t>Sunucu + program çalıştırma</t>
        </is>
      </c>
      <c r="E6" s="5" t="inlineStr">
        <is>
          <t>Düşük</t>
        </is>
      </c>
      <c r="F6" s="5" t="inlineStr">
        <is>
          <t>Medident panele girer</t>
        </is>
      </c>
    </row>
    <row r="7">
      <c r="B7" s="13" t="inlineStr">
        <is>
          <t>Tem 2026</t>
        </is>
      </c>
      <c r="C7" s="13" t="inlineStr">
        <is>
          <t>WhatsApp yanıtı panelden</t>
        </is>
      </c>
      <c r="D7" s="13" t="inlineStr">
        <is>
          <t>Gelen kutusu iyileştirme</t>
        </is>
      </c>
      <c r="E7" s="13" t="inlineStr">
        <is>
          <t>Orta</t>
        </is>
      </c>
      <c r="F7" s="13" t="inlineStr">
        <is>
          <t>Haftada 5 gün kullanım</t>
        </is>
      </c>
    </row>
    <row r="8">
      <c r="B8" s="5" t="inlineStr">
        <is>
          <t>Ağu–Eyl</t>
        </is>
      </c>
      <c r="C8" s="5" t="inlineStr">
        <is>
          <t>Google yorum onayı tek tık</t>
        </is>
      </c>
      <c r="D8" s="5" t="inlineStr">
        <is>
          <t>Onay ekranı</t>
        </is>
      </c>
      <c r="E8" s="5" t="inlineStr">
        <is>
          <t>Orta</t>
        </is>
      </c>
      <c r="F8" s="5" t="inlineStr">
        <is>
          <t>Yorumların %50'si panelden</t>
        </is>
      </c>
    </row>
    <row r="9">
      <c r="B9" s="13" t="inlineStr">
        <is>
          <t>Eki–Ara</t>
        </is>
      </c>
      <c r="C9" s="13" t="inlineStr">
        <is>
          <t>İlk ücretli müşteriler</t>
        </is>
      </c>
      <c r="D9" s="13" t="inlineStr">
        <is>
          <t>Satış, sözleşme, eğitim</t>
        </is>
      </c>
      <c r="E9" s="13" t="inlineStr">
        <is>
          <t>Yüksek</t>
        </is>
      </c>
      <c r="F9" s="13" t="inlineStr">
        <is>
          <t>5 klinik ödüyor</t>
        </is>
      </c>
    </row>
    <row r="10">
      <c r="B10" s="5" t="inlineStr">
        <is>
          <t>2027 H1</t>
        </is>
      </c>
      <c r="C10" s="5" t="inlineStr">
        <is>
          <t>Randevu sistemi bağlantısı</t>
        </is>
      </c>
      <c r="D10" s="5" t="inlineStr">
        <is>
          <t>Klinik yazılımları entegrasyonu</t>
        </is>
      </c>
      <c r="E10" s="5" t="inlineStr">
        <is>
          <t>Yüksek</t>
        </is>
      </c>
      <c r="F10" s="5" t="inlineStr">
        <is>
          <t>10+ klinik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2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2" customWidth="1" min="3" max="3"/>
    <col width="14" customWidth="1" min="4" max="4"/>
    <col width="12" customWidth="1" min="5" max="5"/>
  </cols>
  <sheetData>
    <row r="2" ht="28" customHeight="1">
      <c r="B2" s="1" t="inlineStr">
        <is>
          <t>MALİYET VE GELİR TABLOSU</t>
        </is>
      </c>
    </row>
    <row r="3" ht="32" customHeight="1">
      <c r="B3" s="2" t="inlineStr">
        <is>
          <t>Tahmini rakamlar — güncel teklif alın</t>
        </is>
      </c>
    </row>
    <row r="5" ht="22" customHeight="1">
      <c r="B5" s="3" t="inlineStr">
        <is>
          <t>AYLIK GİDERLER</t>
        </is>
      </c>
    </row>
    <row r="6" ht="36" customHeight="1">
      <c r="B6" s="6" t="inlineStr">
        <is>
          <t>Kalem</t>
        </is>
      </c>
      <c r="C6" s="6" t="inlineStr">
        <is>
          <t>Ne için?</t>
        </is>
      </c>
      <c r="D6" s="6" t="inlineStr">
        <is>
          <t>Ayda (₺)</t>
        </is>
      </c>
      <c r="E6" s="6" t="inlineStr">
        <is>
          <t>Zorunlu?</t>
        </is>
      </c>
    </row>
    <row r="7">
      <c r="B7" s="5" t="inlineStr">
        <is>
          <t>Türkiye sunucu</t>
        </is>
      </c>
      <c r="C7" s="5" t="inlineStr">
        <is>
          <t>Program 7/24, veri TR'de</t>
        </is>
      </c>
      <c r="D7" s="5" t="n">
        <v>170</v>
      </c>
      <c r="E7" s="5" t="inlineStr">
        <is>
          <t>Evet</t>
        </is>
      </c>
    </row>
    <row r="8">
      <c r="B8" s="5" t="inlineStr">
        <is>
          <t>Site barındırma</t>
        </is>
      </c>
      <c r="C8" s="5" t="inlineStr">
        <is>
          <t>nefalixai.com</t>
        </is>
      </c>
      <c r="D8" s="5" t="n">
        <v>760</v>
      </c>
      <c r="E8" s="5" t="inlineStr">
        <is>
          <t>Evet</t>
        </is>
      </c>
    </row>
    <row r="9">
      <c r="B9" s="5" t="inlineStr">
        <is>
          <t>Yapay zeka</t>
        </is>
      </c>
      <c r="C9" s="5" t="inlineStr">
        <is>
          <t>Taslak mesaj / yorum</t>
        </is>
      </c>
      <c r="D9" s="5" t="n">
        <v>1500</v>
      </c>
      <c r="E9" s="5" t="inlineStr">
        <is>
          <t>Evet</t>
        </is>
      </c>
    </row>
    <row r="10">
      <c r="B10" s="5" t="inlineStr">
        <is>
          <t>WhatsApp resmi hat</t>
        </is>
      </c>
      <c r="C10" s="5" t="inlineStr">
        <is>
          <t>Yasal ticari mesaj</t>
        </is>
      </c>
      <c r="D10" s="5" t="n">
        <v>2000</v>
      </c>
      <c r="E10" s="5" t="inlineStr">
        <is>
          <t>Satışta</t>
        </is>
      </c>
    </row>
    <row r="11">
      <c r="B11" s="5" t="inlineStr">
        <is>
          <t>Hukuk / KVKK</t>
        </is>
      </c>
      <c r="C11" s="5" t="inlineStr">
        <is>
          <t>Sözleşme</t>
        </is>
      </c>
      <c r="D11" s="5" t="n">
        <v>2500</v>
      </c>
      <c r="E11" s="5" t="inlineStr">
        <is>
          <t>Evet</t>
        </is>
      </c>
    </row>
    <row r="12">
      <c r="B12" s="5" t="inlineStr">
        <is>
          <t>Yazılımcı</t>
        </is>
      </c>
      <c r="C12" s="5" t="inlineStr">
        <is>
          <t>Geliştirme</t>
        </is>
      </c>
      <c r="D12" s="5" t="n">
        <v>45000</v>
      </c>
      <c r="E12" s="5" t="inlineStr">
        <is>
          <t>Önerilen</t>
        </is>
      </c>
    </row>
    <row r="13">
      <c r="B13" s="4" t="inlineStr"/>
      <c r="C13" s="4" t="inlineStr">
        <is>
          <t>PİLOT TOPLAM (yazılımcı hariç)</t>
        </is>
      </c>
      <c r="D13" s="4" t="inlineStr">
        <is>
          <t>~6.000</t>
        </is>
      </c>
      <c r="E13" s="4" t="inlineStr"/>
    </row>
    <row r="14">
      <c r="B14" s="4" t="inlineStr"/>
      <c r="C14" s="4" t="inlineStr">
        <is>
          <t>SATIŞA HAZIR (dahil)</t>
        </is>
      </c>
      <c r="D14" s="4" t="inlineStr">
        <is>
          <t>~82.000</t>
        </is>
      </c>
      <c r="E14" s="4" t="inlineStr"/>
    </row>
    <row r="17" ht="22" customHeight="1">
      <c r="B17" s="3" t="inlineStr">
        <is>
          <t>YIL 1 GELİR SENARYOLARI</t>
        </is>
      </c>
    </row>
    <row r="18" ht="36" customHeight="1">
      <c r="B18" s="6" t="inlineStr">
        <is>
          <t>Senaryo</t>
        </is>
      </c>
      <c r="C18" s="6" t="inlineStr">
        <is>
          <t>Klinik sayısı</t>
        </is>
      </c>
      <c r="D18" s="6" t="inlineStr">
        <is>
          <t>Ort. aylık</t>
        </is>
      </c>
      <c r="E18" s="6" t="inlineStr">
        <is>
          <t>Yıllık gelir (₺)</t>
        </is>
      </c>
      <c r="F18" s="6" t="inlineStr">
        <is>
          <t>Not</t>
        </is>
      </c>
    </row>
    <row r="19">
      <c r="B19" s="5" t="inlineStr">
        <is>
          <t>Kötü</t>
        </is>
      </c>
      <c r="C19" s="5" t="n">
        <v>3</v>
      </c>
      <c r="D19" s="5" t="n">
        <v>5990</v>
      </c>
      <c r="E19" s="5" t="n">
        <v>216000</v>
      </c>
      <c r="F19" s="5" t="inlineStr">
        <is>
          <t>Satış yavaş</t>
        </is>
      </c>
    </row>
    <row r="20">
      <c r="B20" s="17" t="inlineStr">
        <is>
          <t>Gerçekçi ★</t>
        </is>
      </c>
      <c r="C20" s="17" t="n">
        <v>8</v>
      </c>
      <c r="D20" s="17" t="n">
        <v>7490</v>
      </c>
      <c r="E20" s="17" t="n">
        <v>718000</v>
      </c>
      <c r="F20" s="17" t="inlineStr">
        <is>
          <t>Medident referansı</t>
        </is>
      </c>
    </row>
    <row r="21">
      <c r="B21" s="5" t="inlineStr">
        <is>
          <t>İyi</t>
        </is>
      </c>
      <c r="C21" s="5" t="n">
        <v>15</v>
      </c>
      <c r="D21" s="5" t="n">
        <v>7990</v>
      </c>
      <c r="E21" s="5" t="n">
        <v>1440000</v>
      </c>
      <c r="F21" s="5" t="inlineStr">
        <is>
          <t>İyi satış</t>
        </is>
      </c>
    </row>
    <row r="22">
      <c r="B22" s="5" t="inlineStr">
        <is>
          <t>Çok iyi</t>
        </is>
      </c>
      <c r="C22" s="5" t="n">
        <v>25</v>
      </c>
      <c r="D22" s="5" t="n">
        <v>8490</v>
      </c>
      <c r="E22" s="5" t="n">
        <v>2550000</v>
      </c>
      <c r="F22" s="5" t="inlineStr">
        <is>
          <t>Hızlı büyüme</t>
        </is>
      </c>
    </row>
  </sheetData>
  <mergeCells count="4">
    <mergeCell ref="B17:E17"/>
    <mergeCell ref="B5:E5"/>
    <mergeCell ref="B3:E3"/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9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28" customWidth="1" min="4" max="4"/>
    <col width="12" customWidth="1" min="5" max="5"/>
  </cols>
  <sheetData>
    <row r="2" ht="28" customHeight="1">
      <c r="B2" s="1" t="inlineStr">
        <is>
          <t>RİSK REFERANSI</t>
        </is>
      </c>
    </row>
    <row r="3" ht="32" customHeight="1">
      <c r="B3" s="2" t="inlineStr">
        <is>
          <t>Olasılık ve azaltma planı</t>
        </is>
      </c>
    </row>
    <row r="5" ht="36" customHeight="1">
      <c r="B5" s="6" t="inlineStr">
        <is>
          <t>Risk</t>
        </is>
      </c>
      <c r="C5" s="6" t="inlineStr">
        <is>
          <t>Ne olabilir?</t>
        </is>
      </c>
      <c r="D5" s="6" t="inlineStr">
        <is>
          <t>Ne yapıyoruz?</t>
        </is>
      </c>
      <c r="E5" s="6" t="inlineStr">
        <is>
          <t>Önem</t>
        </is>
      </c>
    </row>
    <row r="6">
      <c r="B6" s="5" t="inlineStr">
        <is>
          <t>Sunucu kapalı</t>
        </is>
      </c>
      <c r="C6" s="5" t="inlineStr">
        <is>
          <t>Panel çalışmaz</t>
        </is>
      </c>
      <c r="D6" s="5" t="inlineStr">
        <is>
          <t>TR sunucu + yedekleme</t>
        </is>
      </c>
      <c r="E6" s="5" t="inlineStr">
        <is>
          <t>Yüksek</t>
        </is>
      </c>
    </row>
    <row r="7">
      <c r="B7" s="5" t="inlineStr">
        <is>
          <t>WhatsApp kapanır</t>
        </is>
      </c>
      <c r="C7" s="5" t="inlineStr">
        <is>
          <t>Mesaj gitmez</t>
        </is>
      </c>
      <c r="D7" s="5" t="inlineStr">
        <is>
          <t>Resmi iş ortağı hattı</t>
        </is>
      </c>
      <c r="E7" s="5" t="inlineStr">
        <is>
          <t>Yüksek</t>
        </is>
      </c>
    </row>
    <row r="8">
      <c r="B8" s="5" t="inlineStr">
        <is>
          <t>Yasa ihlali</t>
        </is>
      </c>
      <c r="C8" s="5" t="inlineStr">
        <is>
          <t>Ceza</t>
        </is>
      </c>
      <c r="D8" s="5" t="inlineStr">
        <is>
          <t>Avukat + İYS</t>
        </is>
      </c>
      <c r="E8" s="18" t="inlineStr">
        <is>
          <t>Çok yüksek</t>
        </is>
      </c>
    </row>
    <row r="9">
      <c r="B9" s="5" t="inlineStr">
        <is>
          <t>Satış olmaz</t>
        </is>
      </c>
      <c r="C9" s="5" t="inlineStr">
        <is>
          <t>Gelir yok</t>
        </is>
      </c>
      <c r="D9" s="5" t="inlineStr">
        <is>
          <t>Medident hikâyesi</t>
        </is>
      </c>
      <c r="E9" s="5" t="inlineStr">
        <is>
          <t>Orta</t>
        </is>
      </c>
    </row>
  </sheetData>
  <mergeCells count="2">
    <mergeCell ref="B3:E3"/>
    <mergeCell ref="B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11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28" customWidth="1" min="5" max="5"/>
  </cols>
  <sheetData>
    <row r="2" ht="28" customHeight="1">
      <c r="B2" s="1" t="inlineStr">
        <is>
          <t>PİLOT KLİNİK — MEDIDENT İSTANBUL</t>
        </is>
      </c>
    </row>
    <row r="3" ht="32" customHeight="1">
      <c r="B3" s="2" t="inlineStr">
        <is>
          <t>Abdulkadir Yaşar · medidentistanbul.com</t>
        </is>
      </c>
    </row>
    <row r="5" ht="36" customHeight="1">
      <c r="B5" s="6" t="inlineStr">
        <is>
          <t>Gösterge</t>
        </is>
      </c>
      <c r="C5" s="6" t="inlineStr">
        <is>
          <t>Hedef</t>
        </is>
      </c>
      <c r="D5" s="6" t="inlineStr">
        <is>
          <t>Şu an</t>
        </is>
      </c>
      <c r="E5" s="6" t="inlineStr">
        <is>
          <t>Not</t>
        </is>
      </c>
    </row>
    <row r="6">
      <c r="B6" s="5" t="inlineStr">
        <is>
          <t>Panel erişimi</t>
        </is>
      </c>
      <c r="C6" s="5" t="inlineStr">
        <is>
          <t>%99</t>
        </is>
      </c>
      <c r="D6" s="5" t="inlineStr">
        <is>
          <t>Sunucu askı</t>
        </is>
      </c>
      <c r="E6" s="5" t="inlineStr">
        <is>
          <t>Destek açık</t>
        </is>
      </c>
    </row>
    <row r="7">
      <c r="B7" s="5" t="inlineStr">
        <is>
          <t>Haftalık kullanım</t>
        </is>
      </c>
      <c r="C7" s="5" t="inlineStr">
        <is>
          <t>5+ gün</t>
        </is>
      </c>
      <c r="D7" s="5" t="inlineStr">
        <is>
          <t>—</t>
        </is>
      </c>
      <c r="E7" s="5" t="inlineStr">
        <is>
          <t>Sunucu sonrası</t>
        </is>
      </c>
    </row>
    <row r="8">
      <c r="B8" s="5" t="inlineStr">
        <is>
          <t>Inbox panelden</t>
        </is>
      </c>
      <c r="C8" s="5" t="inlineStr">
        <is>
          <t>%80</t>
        </is>
      </c>
      <c r="D8" s="5" t="inlineStr">
        <is>
          <t>—</t>
        </is>
      </c>
      <c r="E8" s="5" t="inlineStr"/>
    </row>
    <row r="9">
      <c r="B9" s="5" t="inlineStr">
        <is>
          <t>Google onay</t>
        </is>
      </c>
      <c r="C9" s="5" t="inlineStr">
        <is>
          <t>%50</t>
        </is>
      </c>
      <c r="D9" s="5" t="inlineStr">
        <is>
          <t>—</t>
        </is>
      </c>
      <c r="E9" s="5" t="inlineStr"/>
    </row>
    <row r="10">
      <c r="B10" s="5" t="inlineStr">
        <is>
          <t>WhatsApp bağlı</t>
        </is>
      </c>
      <c r="C10" s="5" t="inlineStr">
        <is>
          <t>Evet</t>
        </is>
      </c>
      <c r="D10" s="5" t="inlineStr">
        <is>
          <t>QR gerekli</t>
        </is>
      </c>
      <c r="E10" s="5" t="inlineStr"/>
    </row>
    <row r="11">
      <c r="B11" s="5" t="inlineStr">
        <is>
          <t>Referans hazır</t>
        </is>
      </c>
      <c r="C11" s="5" t="inlineStr">
        <is>
          <t>Evet</t>
        </is>
      </c>
      <c r="D11" s="5" t="inlineStr">
        <is>
          <t>Hayır</t>
        </is>
      </c>
      <c r="E11" s="5" t="inlineStr">
        <is>
          <t>Case study</t>
        </is>
      </c>
    </row>
  </sheetData>
  <mergeCells count="2">
    <mergeCell ref="B3:E3"/>
    <mergeCell ref="B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K42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28" customWidth="1" min="4" max="4"/>
    <col width="18" customWidth="1" min="5" max="5"/>
    <col width="22" customWidth="1" min="6" max="6"/>
    <col width="18" customWidth="1" min="7" max="7"/>
    <col width="16" customWidth="1" min="8" max="8"/>
    <col width="12" customWidth="1" min="9" max="9"/>
    <col width="36" customWidth="1" min="10" max="10"/>
  </cols>
  <sheetData>
    <row r="2" ht="28" customHeight="1">
      <c r="B2" s="1" t="inlineStr">
        <is>
          <t>1. DİŞ KLİNİKLERİ — İSTANBUL HEDEF PORTFÖY</t>
        </is>
      </c>
    </row>
    <row r="3" ht="32" customHeight="1">
      <c r="B3" s="2" t="inlineStr">
        <is>
          <t>Ana satış listesi · Uygunluk skoru 1-5 · Medident pilot en üstte</t>
        </is>
      </c>
    </row>
    <row r="5" ht="36" customHeight="1">
      <c r="B5" s="6" t="inlineStr"/>
      <c r="C5" s="6" t="inlineStr">
        <is>
          <t>Semt / İlçe</t>
        </is>
      </c>
      <c r="D5" s="6" t="inlineStr">
        <is>
          <t>Adres</t>
        </is>
      </c>
      <c r="E5" s="6" t="inlineStr">
        <is>
          <t>Telefon</t>
        </is>
      </c>
      <c r="F5" s="6" t="inlineStr">
        <is>
          <t>Web Sitesi</t>
        </is>
      </c>
      <c r="G5" s="6" t="inlineStr">
        <is>
          <t>Tahmini Ölçek</t>
        </is>
      </c>
      <c r="H5" s="6" t="inlineStr">
        <is>
          <t>Uluslararası Hasta</t>
        </is>
      </c>
      <c r="I5" s="6" t="inlineStr">
        <is>
          <t>Uygunluk Skoru (1-5)</t>
        </is>
      </c>
      <c r="J5" s="6" t="inlineStr">
        <is>
          <t>Not / Kaynak</t>
        </is>
      </c>
    </row>
    <row r="6">
      <c r="B6" s="4" t="inlineStr">
        <is>
          <t>★ PİLOT</t>
        </is>
      </c>
      <c r="C6" s="5" t="inlineStr">
        <is>
          <t>Medident İstanbul</t>
        </is>
      </c>
      <c r="D6" s="5" t="inlineStr">
        <is>
          <t>Üsküdar</t>
        </is>
      </c>
      <c r="E6" s="5" t="inlineStr">
        <is>
          <t>Acıbadem Cd. 195F, Üsküdar</t>
        </is>
      </c>
      <c r="F6" s="5" t="inlineStr">
        <is>
          <t>+90 549 119 08 19</t>
        </is>
      </c>
      <c r="G6" s="5" t="inlineStr">
        <is>
          <t>medidentistanbul.com</t>
        </is>
      </c>
      <c r="H6" s="5" t="inlineStr">
        <is>
          <t>Orta klinik</t>
        </is>
      </c>
      <c r="I6" s="17" t="inlineStr">
        <is>
          <t>Evet</t>
        </is>
      </c>
      <c r="J6" s="5" t="n">
        <v>5</v>
      </c>
      <c r="K6" s="5" t="inlineStr">
        <is>
          <t>Aktif pilot — Abdulkadir Yaşar</t>
        </is>
      </c>
    </row>
    <row r="7">
      <c r="B7" s="13" t="inlineStr">
        <is>
          <t>Yeditepe Diş Kliniği (Özel Yeditepe Ağız ve Diş Sağlığı Kliniği)</t>
        </is>
      </c>
      <c r="C7" s="13" t="inlineStr">
        <is>
          <t>Şişli</t>
        </is>
      </c>
      <c r="D7" s="13" t="inlineStr">
        <is>
          <t>Halaskargazi Cad., Şişli, İstanbul</t>
        </is>
      </c>
      <c r="E7" s="13" t="inlineStr">
        <is>
          <t>Web sitesinden teyit edilecek</t>
        </is>
      </c>
      <c r="F7" s="13" t="inlineStr">
        <is>
          <t>yeditepedis.com.tr</t>
        </is>
      </c>
      <c r="G7" s="13" t="inlineStr">
        <is>
          <t>Çoklu uzman kadrosu (multidisipliner)</t>
        </is>
      </c>
      <c r="H7" s="13" t="inlineStr">
        <is>
          <t>Evet</t>
        </is>
      </c>
      <c r="I7" s="13" t="n">
        <v>5</v>
      </c>
      <c r="J7" s="13" t="inlineStr">
        <is>
          <t>Web/blog — implant ve estetik odaklı, çok sayıda uzman hekim</t>
        </is>
      </c>
    </row>
    <row r="8">
      <c r="B8" s="5" t="inlineStr">
        <is>
          <t>Ata Diş Kliniği</t>
        </is>
      </c>
      <c r="C8" s="5" t="inlineStr">
        <is>
          <t>İstanbul (genel)</t>
        </is>
      </c>
      <c r="D8" s="5" t="inlineStr">
        <is>
          <t>Web sitesinden teyit edilecek</t>
        </is>
      </c>
      <c r="E8" s="5" t="inlineStr">
        <is>
          <t>Web sitesinden teyit edilecek</t>
        </is>
      </c>
      <c r="F8" s="5" t="inlineStr">
        <is>
          <t>atadisklinigi.com.tr</t>
        </is>
      </c>
      <c r="G8" s="5" t="inlineStr">
        <is>
          <t>Tek lokasyon, implant odaklı</t>
        </is>
      </c>
      <c r="H8" s="5" t="inlineStr">
        <is>
          <t>Belirtilmemiş</t>
        </is>
      </c>
      <c r="I8" s="5" t="n">
        <v>3</v>
      </c>
      <c r="J8" s="5" t="inlineStr">
        <is>
          <t>Web sitesi — implant merkezi konumlandırması</t>
        </is>
      </c>
    </row>
    <row r="9">
      <c r="B9" s="13" t="inlineStr">
        <is>
          <t>DentaDent</t>
        </is>
      </c>
      <c r="C9" s="13" t="inlineStr">
        <is>
          <t>İstanbul (genel)</t>
        </is>
      </c>
      <c r="D9" s="13" t="inlineStr">
        <is>
          <t>Web sitesinden teyit edilecek</t>
        </is>
      </c>
      <c r="E9" s="13" t="inlineStr">
        <is>
          <t>Web sitesinden teyit edilecek</t>
        </is>
      </c>
      <c r="F9" s="13" t="inlineStr">
        <is>
          <t>dentadent.com.tr</t>
        </is>
      </c>
      <c r="G9" s="13" t="inlineStr">
        <is>
          <t>Orta ölçek</t>
        </is>
      </c>
      <c r="H9" s="13" t="inlineStr">
        <is>
          <t>Evet</t>
        </is>
      </c>
      <c r="I9" s="13" t="n">
        <v>4</v>
      </c>
      <c r="J9" s="13" t="inlineStr">
        <is>
          <t>Web — uluslararası hasta rehberi içeriği mevcut</t>
        </is>
      </c>
    </row>
    <row r="10">
      <c r="B10" s="5" t="inlineStr">
        <is>
          <t>Swiss CenterDent İstanbul</t>
        </is>
      </c>
      <c r="C10" s="5" t="inlineStr">
        <is>
          <t>İstanbul (genel)</t>
        </is>
      </c>
      <c r="D10" s="5" t="inlineStr">
        <is>
          <t>Web sitesinden teyit edilecek</t>
        </is>
      </c>
      <c r="E10" s="5" t="inlineStr">
        <is>
          <t>Web sitesinden teyit edilecek</t>
        </is>
      </c>
      <c r="F10" s="5" t="inlineStr">
        <is>
          <t>Web sitesinden teyit edilecek</t>
        </is>
      </c>
      <c r="G10" s="5" t="inlineStr">
        <is>
          <t>Tek lokasyon, Avrupa standartları vurgusu</t>
        </is>
      </c>
      <c r="H10" s="5" t="inlineStr">
        <is>
          <t>Evet</t>
        </is>
      </c>
      <c r="I10" s="5" t="n">
        <v>4</v>
      </c>
      <c r="J10" s="5" t="inlineStr">
        <is>
          <t>Dizin sitesi — premium konumlandırma, çok hizmet kalemi</t>
        </is>
      </c>
    </row>
    <row r="11">
      <c r="B11" s="13" t="inlineStr">
        <is>
          <t>Özel Nişantaşı Allianoi Ağız ve Diş Sağlığı Kliniği</t>
        </is>
      </c>
      <c r="C11" s="13" t="inlineStr">
        <is>
          <t>Şişli / Nişantaşı</t>
        </is>
      </c>
      <c r="D11" s="13" t="inlineStr">
        <is>
          <t>Teşvikiye Mah., Vali Konağı Cad. No:97, Şişli</t>
        </is>
      </c>
      <c r="E11" s="13" t="inlineStr">
        <is>
          <t>+90 212 233 39 03</t>
        </is>
      </c>
      <c r="F11" s="13" t="inlineStr">
        <is>
          <t>allianoi.com</t>
        </is>
      </c>
      <c r="G11" s="13" t="inlineStr">
        <is>
          <t>Çok hekimli poliklinik</t>
        </is>
      </c>
      <c r="H11" s="13" t="inlineStr">
        <is>
          <t>Belirtilmemiş</t>
        </is>
      </c>
      <c r="I11" s="13" t="n">
        <v>4</v>
      </c>
      <c r="J11" s="13" t="inlineStr">
        <is>
          <t>Google Haritalar — geniş hizmet yelpazesi (implant, ortodonti, cerrahi)</t>
        </is>
      </c>
    </row>
    <row r="12">
      <c r="B12" s="5" t="inlineStr">
        <is>
          <t>UniqDent</t>
        </is>
      </c>
      <c r="C12" s="5" t="inlineStr">
        <is>
          <t>Şişli (Maslak)</t>
        </is>
      </c>
      <c r="D12" s="5" t="inlineStr">
        <is>
          <t>Maslak Mah. Büyükdere Cad. No:239, Şişli</t>
        </is>
      </c>
      <c r="E12" s="5" t="inlineStr">
        <is>
          <t>Web sitesinden teyit edilecek</t>
        </is>
      </c>
      <c r="F12" s="5" t="inlineStr">
        <is>
          <t>Web sitesinden teyit edilecek</t>
        </is>
      </c>
      <c r="G12" s="5" t="inlineStr">
        <is>
          <t>Tek lokasyon</t>
        </is>
      </c>
      <c r="H12" s="5" t="inlineStr">
        <is>
          <t>Belirtilmemiş</t>
        </is>
      </c>
      <c r="I12" s="5" t="n">
        <v>3</v>
      </c>
      <c r="J12" s="5" t="inlineStr">
        <is>
          <t>Dizin sitesi (bulurum.com) — hekim seçim opsiyonu sunuyor</t>
        </is>
      </c>
    </row>
    <row r="13">
      <c r="B13" s="13" t="inlineStr">
        <is>
          <t>Klinik Nişantaşı (Dr. Erdi İçen)</t>
        </is>
      </c>
      <c r="C13" s="13" t="inlineStr">
        <is>
          <t>Şişli / Nişantaşı</t>
        </is>
      </c>
      <c r="D13" s="13" t="inlineStr">
        <is>
          <t>Teşvikiye Mah., Vali Konağı Cad. No:86/A, Şişli</t>
        </is>
      </c>
      <c r="E13" s="13" t="inlineStr">
        <is>
          <t>+90 552 247 3335</t>
        </is>
      </c>
      <c r="F13" s="13" t="inlineStr">
        <is>
          <t>kliniknisantasi.com</t>
        </is>
      </c>
      <c r="G13" s="13" t="inlineStr">
        <is>
          <t>Tek lokasyon, premium konumlandırma</t>
        </is>
      </c>
      <c r="H13" s="13" t="inlineStr">
        <is>
          <t>Belirtilmemiş</t>
        </is>
      </c>
      <c r="I13" s="13" t="n">
        <v>4</v>
      </c>
      <c r="J13" s="13" t="inlineStr">
        <is>
          <t>Resmi web sitesi — gülüş tasarımı/implant/ortodonti odaklı premium klinik</t>
        </is>
      </c>
    </row>
    <row r="14">
      <c r="B14" s="5" t="inlineStr">
        <is>
          <t>Prof. Dr. Ömer Kutay İmplant &amp; Estetik Diş Kliniği</t>
        </is>
      </c>
      <c r="C14" s="5" t="inlineStr">
        <is>
          <t>Şişli / Nişantaşı</t>
        </is>
      </c>
      <c r="D14" s="5" t="inlineStr">
        <is>
          <t>Valikonağı Cd. Mim Kemal Ap. No:72/1, Nişantaşı, Şişli</t>
        </is>
      </c>
      <c r="E14" s="5" t="inlineStr">
        <is>
          <t>+90 212 231 32 92</t>
        </is>
      </c>
      <c r="F14" s="5" t="inlineStr">
        <is>
          <t>omerkutay.com</t>
        </is>
      </c>
      <c r="G14" s="5" t="inlineStr">
        <is>
          <t>Tek lokasyon, 35 yıllık geçmiş</t>
        </is>
      </c>
      <c r="H14" s="5" t="inlineStr">
        <is>
          <t>Evet</t>
        </is>
      </c>
      <c r="I14" s="5" t="n">
        <v>4</v>
      </c>
      <c r="J14" s="5" t="inlineStr">
        <is>
          <t>Resmi web sitesi — yurt içi/yurt dışı hasta odaklı, implant uzmanı</t>
        </is>
      </c>
    </row>
    <row r="15">
      <c r="B15" s="13" t="inlineStr">
        <is>
          <t>DentNis (Dr. Abdulkadir Narin)</t>
        </is>
      </c>
      <c r="C15" s="13" t="inlineStr">
        <is>
          <t>Şişli / Nişantaşı</t>
        </is>
      </c>
      <c r="D15" s="13" t="inlineStr">
        <is>
          <t>Nişantaşı, Şişli</t>
        </is>
      </c>
      <c r="E15" s="13" t="inlineStr">
        <is>
          <t>Web sitesinden teyit edilecek</t>
        </is>
      </c>
      <c r="F15" s="13" t="inlineStr">
        <is>
          <t>dentnis.com</t>
        </is>
      </c>
      <c r="G15" s="13" t="inlineStr">
        <is>
          <t>Tek lokasyon, estetik diş odaklı</t>
        </is>
      </c>
      <c r="H15" s="13" t="inlineStr">
        <is>
          <t>Evet</t>
        </is>
      </c>
      <c r="I15" s="13" t="n">
        <v>4</v>
      </c>
      <c r="J15" s="13" t="inlineStr">
        <is>
          <t>Resmi web sitesi (EN dilinde de yayında) — gülüş tasarımı uzmanı</t>
        </is>
      </c>
    </row>
    <row r="16">
      <c r="B16" s="5" t="inlineStr">
        <is>
          <t>One Dent Diş Kliniği</t>
        </is>
      </c>
      <c r="C16" s="5" t="inlineStr">
        <is>
          <t>Şişli (Mecidiyeköy)</t>
        </is>
      </c>
      <c r="D16" s="5" t="inlineStr">
        <is>
          <t>Mecidiyeköy, Şişli</t>
        </is>
      </c>
      <c r="E16" s="5" t="inlineStr">
        <is>
          <t>Web sitesinden teyit edilecek</t>
        </is>
      </c>
      <c r="F16" s="5" t="inlineStr">
        <is>
          <t>sislidishekimi.com</t>
        </is>
      </c>
      <c r="G16" s="5" t="inlineStr">
        <is>
          <t>Tek lokasyon, 20 yıllık tecrübe</t>
        </is>
      </c>
      <c r="H16" s="5" t="inlineStr">
        <is>
          <t>Belirtilmemiş</t>
        </is>
      </c>
      <c r="I16" s="5" t="n">
        <v>3</v>
      </c>
      <c r="J16" s="5" t="inlineStr">
        <is>
          <t>Resmi web sitesi — implant, ortodonti, çocuk diş hekimliği</t>
        </is>
      </c>
    </row>
    <row r="17">
      <c r="B17" s="13" t="inlineStr">
        <is>
          <t>Dentram Diş Klinikleri (Levent Şubesi)</t>
        </is>
      </c>
      <c r="C17" s="13" t="inlineStr">
        <is>
          <t>Beşiktaş / Levent</t>
        </is>
      </c>
      <c r="D17" s="13" t="inlineStr">
        <is>
          <t>Çilekli Cad. No:4, Levent, Beşiktaş</t>
        </is>
      </c>
      <c r="E17" s="13" t="inlineStr">
        <is>
          <t>+90 212 280 88 00</t>
        </is>
      </c>
      <c r="F17" s="13" t="inlineStr">
        <is>
          <t>dentram.com</t>
        </is>
      </c>
      <c r="G17" s="13" t="inlineStr">
        <is>
          <t>Çok şubeli zincir</t>
        </is>
      </c>
      <c r="H17" s="13" t="inlineStr">
        <is>
          <t>Belirtilmemiş</t>
        </is>
      </c>
      <c r="I17" s="13" t="n">
        <v>4</v>
      </c>
      <c r="J17" s="13" t="inlineStr">
        <is>
          <t>Resmi web sitesi — zincir yapı, kurumsal kimlik</t>
        </is>
      </c>
    </row>
    <row r="18">
      <c r="B18" s="5" t="inlineStr">
        <is>
          <t>Bayındır Beşiktaş Diş Kliniği (Acıbadem Grubu)</t>
        </is>
      </c>
      <c r="C18" s="5" t="inlineStr">
        <is>
          <t>Beşiktaş</t>
        </is>
      </c>
      <c r="D18" s="5" t="inlineStr">
        <is>
          <t>Beşiktaş merkez, İstanbul</t>
        </is>
      </c>
      <c r="E18" s="5" t="inlineStr">
        <is>
          <t>Web sitesinden teyit edilecek</t>
        </is>
      </c>
      <c r="F18" s="5" t="inlineStr">
        <is>
          <t>acibadem.com.tr</t>
        </is>
      </c>
      <c r="G18" s="5" t="inlineStr">
        <is>
          <t>255 m², 6 üniteli, 8 hekim</t>
        </is>
      </c>
      <c r="H18" s="5" t="inlineStr">
        <is>
          <t>Evet</t>
        </is>
      </c>
      <c r="I18" s="5" t="n">
        <v>5</v>
      </c>
      <c r="J18" s="5" t="inlineStr">
        <is>
          <t>Acıbadem kurumsal web sitesi — 3D tomografi, dijital tarayıcı altyapısı</t>
        </is>
      </c>
    </row>
    <row r="19">
      <c r="B19" s="13" t="inlineStr">
        <is>
          <t>Dt. Burak Rahimi Diş Kliniği</t>
        </is>
      </c>
      <c r="C19" s="13" t="inlineStr">
        <is>
          <t>Beşiktaş (Akat)</t>
        </is>
      </c>
      <c r="D19" s="13" t="inlineStr">
        <is>
          <t>Akat Mah. Zeytinoğlu Cad., Beşiktaş</t>
        </is>
      </c>
      <c r="E19" s="13" t="inlineStr">
        <is>
          <t>Web sitesinden teyit edilecek</t>
        </is>
      </c>
      <c r="F19" s="13" t="inlineStr">
        <is>
          <t>Web sitesinden teyit edilecek</t>
        </is>
      </c>
      <c r="G19" s="13" t="inlineStr">
        <is>
          <t>Tek lokasyon</t>
        </is>
      </c>
      <c r="H19" s="13" t="inlineStr">
        <is>
          <t>Belirtilmemiş</t>
        </is>
      </c>
      <c r="I19" s="13" t="n">
        <v>3</v>
      </c>
      <c r="J19" s="13" t="inlineStr">
        <is>
          <t>Dizin sitesi (bulurum.com) — ortognatik cerrahi, gülüş tasarımı</t>
        </is>
      </c>
    </row>
    <row r="20">
      <c r="B20" s="5" t="inlineStr">
        <is>
          <t>Dt. Tijen Seçerli Dürer Muayenehanesi</t>
        </is>
      </c>
      <c r="C20" s="5" t="inlineStr">
        <is>
          <t>Beşiktaş (1. Levent)</t>
        </is>
      </c>
      <c r="D20" s="5" t="inlineStr">
        <is>
          <t>Nispetiye Mah. Peker Sok. Tuğ Apt., 1. Levent</t>
        </is>
      </c>
      <c r="E20" s="5" t="inlineStr">
        <is>
          <t>Web sitesinden teyit edilecek</t>
        </is>
      </c>
      <c r="F20" s="5" t="inlineStr">
        <is>
          <t>Web sitesinden teyit edilecek</t>
        </is>
      </c>
      <c r="G20" s="5" t="inlineStr">
        <is>
          <t>Tek hekim</t>
        </is>
      </c>
      <c r="H20" s="5" t="inlineStr">
        <is>
          <t>Belirtilmemiş</t>
        </is>
      </c>
      <c r="I20" s="5" t="n">
        <v>2</v>
      </c>
      <c r="J20" s="5" t="inlineStr">
        <is>
          <t>Dizin sitesi (doktorsitesi.com)</t>
        </is>
      </c>
    </row>
    <row r="21">
      <c r="B21" s="13" t="inlineStr">
        <is>
          <t>Adent Ağız ve Diş Sağlığı Polikliniği</t>
        </is>
      </c>
      <c r="C21" s="13" t="inlineStr">
        <is>
          <t>Beşiktaş (Levent/Etiler)</t>
        </is>
      </c>
      <c r="D21" s="13" t="inlineStr">
        <is>
          <t>Nispetiye Mah. Aytar Cad. Bilgin Sok. No:1, Levent</t>
        </is>
      </c>
      <c r="E21" s="13" t="inlineStr">
        <is>
          <t>Web sitesinden teyit edilecek</t>
        </is>
      </c>
      <c r="F21" s="13" t="inlineStr">
        <is>
          <t>Web sitesinden teyit edilecek</t>
        </is>
      </c>
      <c r="G21" s="13" t="inlineStr">
        <is>
          <t>Poliklinik, çok hekimli</t>
        </is>
      </c>
      <c r="H21" s="13" t="inlineStr">
        <is>
          <t>Belirtilmemiş</t>
        </is>
      </c>
      <c r="I21" s="13" t="n">
        <v>3</v>
      </c>
      <c r="J21" s="13" t="inlineStr">
        <is>
          <t>Dizin sitesi (doktorsitesi.com)</t>
        </is>
      </c>
    </row>
    <row r="22">
      <c r="B22" s="5" t="inlineStr">
        <is>
          <t>F&amp;S Clinic</t>
        </is>
      </c>
      <c r="C22" s="5" t="inlineStr">
        <is>
          <t>Beşiktaş (Nisbetiye)</t>
        </is>
      </c>
      <c r="D22" s="5" t="inlineStr">
        <is>
          <t>Nisbetiye, Erdoğan İş Merkezi, Aytar Cd. No:38</t>
        </is>
      </c>
      <c r="E22" s="5" t="inlineStr">
        <is>
          <t>Web sitesinden teyit edilecek</t>
        </is>
      </c>
      <c r="F22" s="5" t="inlineStr">
        <is>
          <t>Web sitesinden teyit edilecek</t>
        </is>
      </c>
      <c r="G22" s="5" t="inlineStr">
        <is>
          <t>Tek lokasyon</t>
        </is>
      </c>
      <c r="H22" s="5" t="inlineStr">
        <is>
          <t>Belirtilmemiş</t>
        </is>
      </c>
      <c r="I22" s="5" t="n">
        <v>2</v>
      </c>
      <c r="J22" s="5" t="inlineStr">
        <is>
          <t>Dizin sitesi (doktorsitesi.com)</t>
        </is>
      </c>
    </row>
    <row r="23">
      <c r="B23" s="13" t="inlineStr">
        <is>
          <t>Özel Adent Ağız ve Diş Sağlığı Polikliniği</t>
        </is>
      </c>
      <c r="C23" s="13" t="inlineStr">
        <is>
          <t>Beşiktaş (Etiler)</t>
        </is>
      </c>
      <c r="D23" s="13" t="inlineStr">
        <is>
          <t>Nisbetiye Mah. Bilgin Sok. No:1/4, Etiler</t>
        </is>
      </c>
      <c r="E23" s="13" t="inlineStr">
        <is>
          <t>Web sitesinden teyit edilecek</t>
        </is>
      </c>
      <c r="F23" s="13" t="inlineStr">
        <is>
          <t>Web sitesinden teyit edilecek</t>
        </is>
      </c>
      <c r="G23" s="13" t="inlineStr">
        <is>
          <t>Poliklinik</t>
        </is>
      </c>
      <c r="H23" s="13" t="inlineStr">
        <is>
          <t>Belirtilmemiş</t>
        </is>
      </c>
      <c r="I23" s="13" t="n">
        <v>2</v>
      </c>
      <c r="J23" s="13" t="inlineStr">
        <is>
          <t>Dizin sitesi (doktorsitesi.com)</t>
        </is>
      </c>
    </row>
    <row r="24">
      <c r="B24" s="5" t="inlineStr">
        <is>
          <t>Diş Levent Ağız ve Diş Sağlığı Polikliniği</t>
        </is>
      </c>
      <c r="C24" s="5" t="inlineStr">
        <is>
          <t>Beşiktaş</t>
        </is>
      </c>
      <c r="D24" s="5" t="inlineStr">
        <is>
          <t>Sanayi Mah. Eski Büyükdere Cad. Silahtaroğlu Sk. No:11, Beşiktaş</t>
        </is>
      </c>
      <c r="E24" s="5" t="inlineStr">
        <is>
          <t>Web sitesinden teyit edilecek</t>
        </is>
      </c>
      <c r="F24" s="5" t="inlineStr">
        <is>
          <t>Web sitesinden teyit edilecek</t>
        </is>
      </c>
      <c r="G24" s="5" t="inlineStr">
        <is>
          <t>Poliklinik, çok hekimli</t>
        </is>
      </c>
      <c r="H24" s="5" t="inlineStr">
        <is>
          <t>Belirtilmemiş</t>
        </is>
      </c>
      <c r="I24" s="5" t="n">
        <v>3</v>
      </c>
      <c r="J24" s="5" t="inlineStr">
        <is>
          <t>Dizin sitesi (dishekimi.com.tr)</t>
        </is>
      </c>
    </row>
    <row r="25">
      <c r="B25" s="13" t="inlineStr">
        <is>
          <t>My Dent Ağız ve Diş Sağlığı Polikliniği</t>
        </is>
      </c>
      <c r="C25" s="13" t="inlineStr">
        <is>
          <t>Beşiktaş</t>
        </is>
      </c>
      <c r="D25" s="13" t="inlineStr">
        <is>
          <t>Barbaros Bulvarı Özgür Apt. No:55/3, Beşiktaş</t>
        </is>
      </c>
      <c r="E25" s="13" t="inlineStr">
        <is>
          <t>Web sitesinden teyit edilecek</t>
        </is>
      </c>
      <c r="F25" s="13" t="inlineStr">
        <is>
          <t>Web sitesinden teyit edilecek</t>
        </is>
      </c>
      <c r="G25" s="13" t="inlineStr">
        <is>
          <t>Poliklinik</t>
        </is>
      </c>
      <c r="H25" s="13" t="inlineStr">
        <is>
          <t>Belirtilmemiş</t>
        </is>
      </c>
      <c r="I25" s="13" t="n">
        <v>2</v>
      </c>
      <c r="J25" s="13" t="inlineStr">
        <is>
          <t>Dizin sitesi (dishekimi.com.tr)</t>
        </is>
      </c>
    </row>
    <row r="26">
      <c r="B26" s="5" t="inlineStr">
        <is>
          <t>Vera Smile (Vera Clinic Diş Birimi)</t>
        </is>
      </c>
      <c r="C26" s="5" t="inlineStr">
        <is>
          <t>Şişli / Nişantaşı</t>
        </is>
      </c>
      <c r="D26" s="5" t="inlineStr">
        <is>
          <t>Teşvikiye, Hakkı Yeten Cd. No:11, Şişli</t>
        </is>
      </c>
      <c r="E26" s="5" t="inlineStr">
        <is>
          <t>Web sitesinden teyit edilecek</t>
        </is>
      </c>
      <c r="F26" s="5" t="inlineStr">
        <is>
          <t>verasmile.com / veraclinic.net</t>
        </is>
      </c>
      <c r="G26" s="5" t="inlineStr">
        <is>
          <t>17 şube, 50+ hekim</t>
        </is>
      </c>
      <c r="H26" s="5" t="inlineStr">
        <is>
          <t>Evet</t>
        </is>
      </c>
      <c r="I26" s="5" t="n">
        <v>5</v>
      </c>
      <c r="J26" s="5" t="inlineStr">
        <is>
          <t>Sağlık turizmi dizini (medicaltourismco.com) — büyük ölçekli zincir, çok uluslu hasta</t>
        </is>
      </c>
    </row>
    <row r="27">
      <c r="B27" s="13" t="inlineStr">
        <is>
          <t>DentaRay Clinic</t>
        </is>
      </c>
      <c r="C27" s="13" t="inlineStr">
        <is>
          <t>Şişli / Nişantaşı</t>
        </is>
      </c>
      <c r="D27" s="13" t="inlineStr">
        <is>
          <t>Teşvikiye, Güzelbahçe Sk. No:21, Şişli</t>
        </is>
      </c>
      <c r="E27" s="13" t="inlineStr">
        <is>
          <t>Web sitesinden teyit edilecek</t>
        </is>
      </c>
      <c r="F27" s="13" t="inlineStr">
        <is>
          <t>Web sitesinden teyit edilecek</t>
        </is>
      </c>
      <c r="G27" s="13" t="inlineStr">
        <is>
          <t>Tek lokasyon, kendi laboratuvarı</t>
        </is>
      </c>
      <c r="H27" s="13" t="inlineStr">
        <is>
          <t>Evet</t>
        </is>
      </c>
      <c r="I27" s="13" t="n">
        <v>4</v>
      </c>
      <c r="J27" s="13" t="inlineStr">
        <is>
          <t>Sağlık turizmi dizini — Straumann/Nobel implant garantisi, ISO sertifikalı</t>
        </is>
      </c>
    </row>
    <row r="28">
      <c r="B28" s="5" t="inlineStr">
        <is>
          <t>YEG Clinic</t>
        </is>
      </c>
      <c r="C28" s="5" t="inlineStr">
        <is>
          <t>Şişli / Nişantaşı</t>
        </is>
      </c>
      <c r="D28" s="5" t="inlineStr">
        <is>
          <t>Nişantaşı Halaskargazi, Vali Konağı Cd. No:79 D:1, Nişantaşı</t>
        </is>
      </c>
      <c r="E28" s="5" t="inlineStr">
        <is>
          <t>Web sitesinden teyit edilecek</t>
        </is>
      </c>
      <c r="F28" s="5" t="inlineStr">
        <is>
          <t>Web sitesinden teyit edilecek</t>
        </is>
      </c>
      <c r="G28" s="5" t="inlineStr">
        <is>
          <t>Tek lokasyon, 15+ yıl tecrübeli hekimler</t>
        </is>
      </c>
      <c r="H28" s="5" t="inlineStr">
        <is>
          <t>Evet</t>
        </is>
      </c>
      <c r="I28" s="5" t="n">
        <v>4</v>
      </c>
      <c r="J28" s="5" t="inlineStr">
        <is>
          <t>Sağlık turizmi dizini — diş, plastik cerrahi ve medikal estetik bir arada</t>
        </is>
      </c>
    </row>
    <row r="29">
      <c r="B29" s="13" t="inlineStr">
        <is>
          <t>International Plus</t>
        </is>
      </c>
      <c r="C29" s="13" t="inlineStr">
        <is>
          <t>Küçükçekmece (Halkalı)</t>
        </is>
      </c>
      <c r="D29" s="13" t="inlineStr">
        <is>
          <t>Halkalı Merkez Mah. Basın Ekspres Yan Yolu No:9/5, Küçükçekmece</t>
        </is>
      </c>
      <c r="E29" s="13" t="inlineStr">
        <is>
          <t>Web sitesinden teyit edilecek</t>
        </is>
      </c>
      <c r="F29" s="13" t="inlineStr">
        <is>
          <t>Web sitesinden teyit edilecek</t>
        </is>
      </c>
      <c r="G29" s="13" t="inlineStr">
        <is>
          <t>200.000+ hasta, 133+ ülkeden hasta geçmişi</t>
        </is>
      </c>
      <c r="H29" s="13" t="inlineStr">
        <is>
          <t>Evet</t>
        </is>
      </c>
      <c r="I29" s="13" t="n">
        <v>5</v>
      </c>
      <c r="J29" s="13" t="inlineStr">
        <is>
          <t>Sağlık turizmi dizini — büyük ölçekli, plastik cerrahi + diş kombinasyonu</t>
        </is>
      </c>
    </row>
    <row r="30">
      <c r="B30" s="5" t="inlineStr">
        <is>
          <t>Desen Karabağlar Muayenehanesi</t>
        </is>
      </c>
      <c r="C30" s="5" t="inlineStr">
        <is>
          <t>Şişli / Nişantaşı</t>
        </is>
      </c>
      <c r="D30" s="5" t="inlineStr">
        <is>
          <t>Ergenekon Mah., Halaskargazi Cd. Harbiye Han No:2, Şişli</t>
        </is>
      </c>
      <c r="E30" s="5" t="inlineStr">
        <is>
          <t>Web sitesinden teyit edilecek</t>
        </is>
      </c>
      <c r="F30" s="5" t="inlineStr">
        <is>
          <t>Web sitesinden teyit edilecek</t>
        </is>
      </c>
      <c r="G30" s="5" t="inlineStr">
        <is>
          <t>Tek hekim</t>
        </is>
      </c>
      <c r="H30" s="5" t="inlineStr">
        <is>
          <t>Belirtilmemiş</t>
        </is>
      </c>
      <c r="I30" s="5" t="n">
        <v>2</v>
      </c>
      <c r="J30" s="5" t="inlineStr">
        <is>
          <t>DoktorTakvimi dizini</t>
        </is>
      </c>
    </row>
    <row r="31">
      <c r="B31" s="13" t="inlineStr">
        <is>
          <t>Dt. Erhan Erkan Kliniği</t>
        </is>
      </c>
      <c r="C31" s="13" t="inlineStr">
        <is>
          <t>Şişli / Nişantaşı</t>
        </is>
      </c>
      <c r="D31" s="13" t="inlineStr">
        <is>
          <t>Halaskargazi Rumeli Cad., Nişantaşı, Şişli</t>
        </is>
      </c>
      <c r="E31" s="13" t="inlineStr">
        <is>
          <t>Web sitesinden teyit edilecek</t>
        </is>
      </c>
      <c r="F31" s="13" t="inlineStr">
        <is>
          <t>Web sitesinden teyit edilecek</t>
        </is>
      </c>
      <c r="G31" s="13" t="inlineStr">
        <is>
          <t>Tek hekim</t>
        </is>
      </c>
      <c r="H31" s="13" t="inlineStr">
        <is>
          <t>Belirtilmemiş</t>
        </is>
      </c>
      <c r="I31" s="13" t="n">
        <v>2</v>
      </c>
      <c r="J31" s="13" t="inlineStr">
        <is>
          <t>DoktorTakvimi dizini</t>
        </is>
      </c>
    </row>
    <row r="32">
      <c r="B32" s="5" t="inlineStr">
        <is>
          <t>Doç. Dr. Emir Yüzbaşıoğlu Muayenehanesi</t>
        </is>
      </c>
      <c r="C32" s="5" t="inlineStr">
        <is>
          <t>Şişli / Nişantaşı</t>
        </is>
      </c>
      <c r="D32" s="5" t="inlineStr">
        <is>
          <t>Teşvikiye Mah. Teşvikiye Cd. No:24/1, Nişantaşı</t>
        </is>
      </c>
      <c r="E32" s="5" t="inlineStr">
        <is>
          <t>Web sitesinden teyit edilecek</t>
        </is>
      </c>
      <c r="F32" s="5" t="inlineStr">
        <is>
          <t>Web sitesinden teyit edilecek</t>
        </is>
      </c>
      <c r="G32" s="5" t="inlineStr">
        <is>
          <t>Tek hekim, akademisyen unvanlı</t>
        </is>
      </c>
      <c r="H32" s="5" t="inlineStr">
        <is>
          <t>Belirtilmemiş</t>
        </is>
      </c>
      <c r="I32" s="5" t="n">
        <v>3</v>
      </c>
      <c r="J32" s="5" t="inlineStr">
        <is>
          <t>DoktorTakvimi dizini — akademik unvan, itibar değeri yüksek</t>
        </is>
      </c>
    </row>
    <row r="33">
      <c r="B33" s="13" t="inlineStr">
        <is>
          <t>Dt. Kamile Balıkçı Muayenehanesi</t>
        </is>
      </c>
      <c r="C33" s="13" t="inlineStr">
        <is>
          <t>Şişli / Nişantaşı</t>
        </is>
      </c>
      <c r="D33" s="13" t="inlineStr">
        <is>
          <t>Halaskargazi Cd., Nişantaşı, Şişli</t>
        </is>
      </c>
      <c r="E33" s="13" t="inlineStr">
        <is>
          <t>Web sitesinden teyit edilecek</t>
        </is>
      </c>
      <c r="F33" s="13" t="inlineStr">
        <is>
          <t>Web sitesinden teyit edilecek</t>
        </is>
      </c>
      <c r="G33" s="13" t="inlineStr">
        <is>
          <t>Tek hekim</t>
        </is>
      </c>
      <c r="H33" s="13" t="inlineStr">
        <is>
          <t>Belirtilmemiş</t>
        </is>
      </c>
      <c r="I33" s="13" t="n">
        <v>2</v>
      </c>
      <c r="J33" s="13" t="inlineStr">
        <is>
          <t>DoktorTakvimi dizini</t>
        </is>
      </c>
    </row>
    <row r="34">
      <c r="B34" s="5" t="inlineStr">
        <is>
          <t>Dt. Zeynep Ceylan Muayenehanesi</t>
        </is>
      </c>
      <c r="C34" s="5" t="inlineStr">
        <is>
          <t>Şişli / Nişantaşı</t>
        </is>
      </c>
      <c r="D34" s="5" t="inlineStr">
        <is>
          <t>Halaskargazi Cd., Nişantaşı, Şişli</t>
        </is>
      </c>
      <c r="E34" s="5" t="inlineStr">
        <is>
          <t>Web sitesinden teyit edilecek</t>
        </is>
      </c>
      <c r="F34" s="5" t="inlineStr">
        <is>
          <t>Web sitesinden teyit edilecek</t>
        </is>
      </c>
      <c r="G34" s="5" t="inlineStr">
        <is>
          <t>Tek hekim</t>
        </is>
      </c>
      <c r="H34" s="5" t="inlineStr">
        <is>
          <t>Belirtilmemiş</t>
        </is>
      </c>
      <c r="I34" s="5" t="n">
        <v>2</v>
      </c>
      <c r="J34" s="5" t="inlineStr">
        <is>
          <t>DoktorTakvimi dizini</t>
        </is>
      </c>
    </row>
    <row r="35">
      <c r="B35" s="13" t="inlineStr">
        <is>
          <t>Dr. Dt. Aslıhan Yıldırım Türkmen Muayenehanesi</t>
        </is>
      </c>
      <c r="C35" s="13" t="inlineStr">
        <is>
          <t>Beşiktaş</t>
        </is>
      </c>
      <c r="D35" s="13" t="inlineStr">
        <is>
          <t>Halaskargazi Cd., Beşiktaş yakını</t>
        </is>
      </c>
      <c r="E35" s="13" t="inlineStr">
        <is>
          <t>Web sitesinden teyit edilecek</t>
        </is>
      </c>
      <c r="F35" s="13" t="inlineStr">
        <is>
          <t>Web sitesinden teyit edilecek</t>
        </is>
      </c>
      <c r="G35" s="13" t="inlineStr">
        <is>
          <t>Tek hekim</t>
        </is>
      </c>
      <c r="H35" s="13" t="inlineStr">
        <is>
          <t>Belirtilmemiş</t>
        </is>
      </c>
      <c r="I35" s="13" t="n">
        <v>2</v>
      </c>
      <c r="J35" s="13" t="inlineStr">
        <is>
          <t>DoktorTakvimi dizini</t>
        </is>
      </c>
    </row>
    <row r="36">
      <c r="B36" s="5" t="inlineStr">
        <is>
          <t>Özel My Dent Ağız ve Diş Sağlığı Polikliniği (Semra Aydın)</t>
        </is>
      </c>
      <c r="C36" s="5" t="inlineStr">
        <is>
          <t>Beşiktaş</t>
        </is>
      </c>
      <c r="D36" s="5" t="inlineStr">
        <is>
          <t>Barbaros Bulvarı Özgür Apt. No:55/3, Beşiktaş</t>
        </is>
      </c>
      <c r="E36" s="5" t="inlineStr">
        <is>
          <t>Web sitesinden teyit edilecek</t>
        </is>
      </c>
      <c r="F36" s="5" t="inlineStr">
        <is>
          <t>Web sitesinden teyit edilecek</t>
        </is>
      </c>
      <c r="G36" s="5" t="inlineStr">
        <is>
          <t>Tek hekim</t>
        </is>
      </c>
      <c r="H36" s="5" t="inlineStr">
        <is>
          <t>Belirtilmemiş</t>
        </is>
      </c>
      <c r="I36" s="5" t="n">
        <v>2</v>
      </c>
      <c r="J36" s="5" t="inlineStr">
        <is>
          <t>Dishekimi.com.tr dizini</t>
        </is>
      </c>
    </row>
    <row r="37">
      <c r="B37" s="13" t="inlineStr">
        <is>
          <t>Mehmet Akbul / Diş Levent Polikliniği</t>
        </is>
      </c>
      <c r="C37" s="13" t="inlineStr">
        <is>
          <t>Beşiktaş (4. Levent)</t>
        </is>
      </c>
      <c r="D37" s="13" t="inlineStr">
        <is>
          <t>Sanayi Mah. Eski Büyükdere Cad., 4. Levent, Beşiktaş</t>
        </is>
      </c>
      <c r="E37" s="13" t="inlineStr">
        <is>
          <t>Web sitesinden teyit edilecek</t>
        </is>
      </c>
      <c r="F37" s="13" t="inlineStr">
        <is>
          <t>Web sitesinden teyit edilecek</t>
        </is>
      </c>
      <c r="G37" s="13" t="inlineStr">
        <is>
          <t>Poliklinik</t>
        </is>
      </c>
      <c r="H37" s="13" t="inlineStr">
        <is>
          <t>Belirtilmemiş</t>
        </is>
      </c>
      <c r="I37" s="13" t="n">
        <v>3</v>
      </c>
      <c r="J37" s="13" t="inlineStr">
        <is>
          <t>Dishekimi.com.tr dizini — pedodonti uzmanlığı da mevcut</t>
        </is>
      </c>
    </row>
    <row r="38">
      <c r="B38" s="5" t="inlineStr">
        <is>
          <t>Konaklar Mah. Diş Polikliniği (Selvili Sk.)</t>
        </is>
      </c>
      <c r="C38" s="5" t="inlineStr">
        <is>
          <t>Beşiktaş (4. Levent)</t>
        </is>
      </c>
      <c r="D38" s="5" t="inlineStr">
        <is>
          <t>Konaklar Mah. Selvili Sk. No:13/A, 4. Levent, Beşiktaş</t>
        </is>
      </c>
      <c r="E38" s="5" t="inlineStr">
        <is>
          <t>Web sitesinden teyit edilecek</t>
        </is>
      </c>
      <c r="F38" s="5" t="inlineStr">
        <is>
          <t>Web sitesinden teyit edilecek</t>
        </is>
      </c>
      <c r="G38" s="5" t="inlineStr">
        <is>
          <t>Poliklinik</t>
        </is>
      </c>
      <c r="H38" s="5" t="inlineStr">
        <is>
          <t>Belirtilmemiş</t>
        </is>
      </c>
      <c r="I38" s="5" t="n">
        <v>2</v>
      </c>
      <c r="J38" s="5" t="inlineStr">
        <is>
          <t>Dishekimi.com.tr dizini</t>
        </is>
      </c>
    </row>
    <row r="39">
      <c r="B39" s="13" t="inlineStr">
        <is>
          <t>Not: Şişli/Nişantaşı ve Beşiktaş/Levent hattı, sağlık turizmi yoğunluğu ve premium klinik konsantrasyonu nedeniyle öncelikli taranmıştır. Liste; Kadıköy, Bakırköy, Ataşehir gibi diğer ilçelerle 2. dalgada genişletilebilir. İstanbul'da toplam 8.500'den fazla diş kliniği bulunduğu tahmin edilmektedir (kaynak: turizminsesi.com, 2026) — bu liste o evrenin yüksek öncelikli bir alt kümesidir.</t>
        </is>
      </c>
      <c r="C39" s="13" t="n"/>
      <c r="D39" s="13" t="n"/>
      <c r="E39" s="13" t="n"/>
      <c r="F39" s="13" t="n"/>
      <c r="G39" s="13" t="n"/>
      <c r="H39" s="13" t="n"/>
      <c r="I39" s="13" t="n"/>
      <c r="J39" s="13" t="n"/>
    </row>
    <row r="42">
      <c r="B42" s="19" t="inlineStr">
        <is>
          <t>Not: Skor ≥4 olanlar önce aranır. Pilot tamamlandıktan sonra referans olarak kullanın.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11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6" customWidth="1" min="3" max="3"/>
    <col width="16" customWidth="1" min="4" max="4"/>
    <col width="16" customWidth="1" min="5" max="5"/>
    <col width="20" customWidth="1" min="6" max="6"/>
  </cols>
  <sheetData>
    <row r="2" ht="28" customHeight="1">
      <c r="B2" s="1" t="inlineStr">
        <is>
          <t>YÖNETİM KURULU ONAY LİSTESİ</t>
        </is>
      </c>
    </row>
    <row r="3" ht="32" customHeight="1">
      <c r="B3" s="2" t="inlineStr">
        <is>
          <t>Toplantı sonunda doldurun</t>
        </is>
      </c>
    </row>
    <row r="5" ht="36" customHeight="1">
      <c r="B5" s="6" t="inlineStr">
        <is>
          <t>#</t>
        </is>
      </c>
      <c r="C5" s="6" t="inlineStr">
        <is>
          <t>Karar</t>
        </is>
      </c>
      <c r="D5" s="6" t="inlineStr">
        <is>
          <t>Tutar</t>
        </is>
      </c>
      <c r="E5" s="6" t="inlineStr">
        <is>
          <t>ONAY (EVET/HAYIR)</t>
        </is>
      </c>
      <c r="F5" s="6" t="inlineStr">
        <is>
          <t>Not</t>
        </is>
      </c>
    </row>
    <row r="6">
      <c r="B6" s="9" t="n">
        <v>1</v>
      </c>
      <c r="C6" s="5" t="inlineStr">
        <is>
          <t>Yıllık bütçe — yatırım yılı</t>
        </is>
      </c>
      <c r="D6" s="9" t="inlineStr">
        <is>
          <t>~2.100.000 ₺</t>
        </is>
      </c>
      <c r="E6" s="12" t="inlineStr"/>
      <c r="F6" s="5" t="inlineStr"/>
    </row>
    <row r="7">
      <c r="B7" s="9" t="n">
        <v>2</v>
      </c>
      <c r="C7" s="5" t="inlineStr">
        <is>
          <t>Hukuk / KVKK paketi</t>
        </is>
      </c>
      <c r="D7" s="9" t="inlineStr">
        <is>
          <t>25.000 ₺</t>
        </is>
      </c>
      <c r="E7" s="12" t="inlineStr"/>
      <c r="F7" s="5" t="inlineStr"/>
    </row>
    <row r="8">
      <c r="B8" s="9" t="n">
        <v>3</v>
      </c>
      <c r="C8" s="5" t="inlineStr">
        <is>
          <t>Yarı zamanlı yazılımcı</t>
        </is>
      </c>
      <c r="D8" s="9" t="inlineStr">
        <is>
          <t>45.000 ₺/ay</t>
        </is>
      </c>
      <c r="E8" s="12" t="inlineStr"/>
      <c r="F8" s="5" t="inlineStr"/>
    </row>
    <row r="9">
      <c r="B9" s="9" t="n">
        <v>4</v>
      </c>
      <c r="C9" s="5" t="inlineStr">
        <is>
          <t>Fiyat: Profesyonel 7.990 ₺/ay</t>
        </is>
      </c>
      <c r="D9" s="9" t="inlineStr">
        <is>
          <t>—</t>
        </is>
      </c>
      <c r="E9" s="12" t="inlineStr"/>
      <c r="F9" s="5" t="inlineStr"/>
    </row>
    <row r="10">
      <c r="B10" s="9" t="n">
        <v>5</v>
      </c>
      <c r="C10" s="5" t="inlineStr">
        <is>
          <t>Medident referans izni</t>
        </is>
      </c>
      <c r="D10" s="9" t="inlineStr">
        <is>
          <t>—</t>
        </is>
      </c>
      <c r="E10" s="12" t="inlineStr"/>
      <c r="F10" s="5" t="inlineStr"/>
    </row>
    <row r="11">
      <c r="B11" s="9" t="n">
        <v>6</v>
      </c>
      <c r="C11" s="5" t="inlineStr">
        <is>
          <t>Hedef: 5 ücretli klinik (Aralık)</t>
        </is>
      </c>
      <c r="D11" s="9" t="inlineStr">
        <is>
          <t>—</t>
        </is>
      </c>
      <c r="E11" s="12" t="inlineStr"/>
      <c r="F11" s="5" t="inlineStr"/>
    </row>
  </sheetData>
  <mergeCells count="2">
    <mergeCell ref="B2:F2"/>
    <mergeCell ref="B3:F3"/>
  </mergeCells>
  <dataValidations count="6">
    <dataValidation sqref="E6" showDropDown="0" showInputMessage="0" showErrorMessage="0" allowBlank="1" errorTitle="Geçersiz seçim" error="Listeden seçin" type="list">
      <formula1>"EVET,HAYIR,KARARSIZ"</formula1>
    </dataValidation>
    <dataValidation sqref="E7" showDropDown="0" showInputMessage="0" showErrorMessage="0" allowBlank="1" errorTitle="Geçersiz seçim" error="Listeden seçin" type="list">
      <formula1>"EVET,HAYIR,KARARSIZ"</formula1>
    </dataValidation>
    <dataValidation sqref="E8" showDropDown="0" showInputMessage="0" showErrorMessage="0" allowBlank="1" errorTitle="Geçersiz seçim" error="Listeden seçin" type="list">
      <formula1>"EVET,HAYIR,KARARSIZ"</formula1>
    </dataValidation>
    <dataValidation sqref="E9" showDropDown="0" showInputMessage="0" showErrorMessage="0" allowBlank="1" errorTitle="Geçersiz seçim" error="Listeden seçin" type="list">
      <formula1>"EVET,HAYIR,KARARSIZ"</formula1>
    </dataValidation>
    <dataValidation sqref="E10" showDropDown="0" showInputMessage="0" showErrorMessage="0" allowBlank="1" errorTitle="Geçersiz seçim" error="Listeden seçin" type="list">
      <formula1>"EVET,HAYIR,KARARSIZ"</formula1>
    </dataValidation>
    <dataValidation sqref="E11" showDropDown="0" showInputMessage="0" showErrorMessage="0" allowBlank="1" errorTitle="Geçersiz seçim" error="Listeden seçin" type="list">
      <formula1>"EVET,HAYIR,KARARSIZ"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2026-06-19T08:30:49Z</dcterms:created>
  <dcterms:modified xsi:type="dcterms:W3CDTF">2026-06-19T08:30:49Z</dcterms:modified>
</cp:coreProperties>
</file>